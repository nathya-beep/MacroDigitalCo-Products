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7868\Desktop\ETSY\"/>
    </mc:Choice>
  </mc:AlternateContent>
  <xr:revisionPtr revIDLastSave="0" documentId="13_ncr:1_{8306E7CE-B94B-4158-93AF-02C2A8BA55B7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⚙ Setup" sheetId="1" r:id="rId1"/>
    <sheet name="📊 Annual Dashboard" sheetId="2" r:id="rId2"/>
    <sheet name="Jan" sheetId="3" r:id="rId3"/>
    <sheet name="Feb" sheetId="4" r:id="rId4"/>
    <sheet name="Mar" sheetId="5" r:id="rId5"/>
    <sheet name="Apr" sheetId="6" r:id="rId6"/>
    <sheet name="May" sheetId="7" r:id="rId7"/>
    <sheet name="Jun" sheetId="8" r:id="rId8"/>
    <sheet name="Jul" sheetId="9" r:id="rId9"/>
    <sheet name="Aug" sheetId="10" r:id="rId10"/>
    <sheet name="Sep" sheetId="11" r:id="rId11"/>
    <sheet name="Oct" sheetId="12" r:id="rId12"/>
    <sheet name="Nov" sheetId="13" r:id="rId13"/>
    <sheet name="Dec" sheetId="14" r:id="rId14"/>
    <sheet name="🗓 Bill Calendar" sheetId="15" r:id="rId15"/>
    <sheet name="💳 Debt Tracker" sheetId="16" r:id="rId16"/>
    <sheet name="💰 Savings Tracker" sheetId="17" r:id="rId17"/>
    <sheet name="📈 Net Worth" sheetId="18" r:id="rId18"/>
    <sheet name="⚖ 50-30-20" sheetId="19" r:id="rId19"/>
    <sheet name="👫 Couples Budget" sheetId="20" r:id="rId20"/>
    <sheet name="🧠 ADHD View" sheetId="21" r:id="rId21"/>
    <sheet name="📱 Subscriptions" sheetId="22" r:id="rId22"/>
    <sheet name="💵 Income Tracker" sheetId="23" r:id="rId23"/>
    <sheet name="🎯 No-Spend Challenge" sheetId="24" r:id="rId24"/>
    <sheet name="📖 Instructions" sheetId="25" r:id="rId2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14" l="1"/>
  <c r="C8" i="13"/>
  <c r="C8" i="12"/>
  <c r="C8" i="11"/>
  <c r="C8" i="10"/>
  <c r="C8" i="9"/>
  <c r="C8" i="8"/>
  <c r="C8" i="7"/>
  <c r="C8" i="6"/>
  <c r="C8" i="5"/>
  <c r="C8" i="4"/>
  <c r="C8" i="3"/>
  <c r="C13" i="19"/>
  <c r="C8" i="19"/>
  <c r="B3" i="19"/>
  <c r="D17" i="14" a="1"/>
  <c r="D18" i="14" a="1"/>
  <c r="D19" i="14" a="1"/>
  <c r="D20" i="14" a="1"/>
  <c r="D21" i="14" a="1"/>
  <c r="D22" i="14" a="1"/>
  <c r="D23" i="14" a="1"/>
  <c r="D24" i="14" a="1"/>
  <c r="D25" i="14" a="1"/>
  <c r="D26" i="14" a="1"/>
  <c r="D27" i="14" a="1"/>
  <c r="D28" i="14" a="1"/>
  <c r="D29" i="14" a="1"/>
  <c r="D30" i="14" a="1"/>
  <c r="D31" i="14" a="1"/>
  <c r="D8" i="14"/>
  <c r="A1" i="14"/>
  <c r="D17" i="13" a="1"/>
  <c r="D18" i="13" a="1"/>
  <c r="D19" i="13" a="1"/>
  <c r="D20" i="13" a="1"/>
  <c r="D21" i="13" a="1"/>
  <c r="D22" i="13" a="1"/>
  <c r="D23" i="13" a="1"/>
  <c r="D24" i="13" a="1"/>
  <c r="D25" i="13" a="1"/>
  <c r="D26" i="13" a="1"/>
  <c r="D27" i="13" a="1"/>
  <c r="D28" i="13" a="1"/>
  <c r="D29" i="13" a="1"/>
  <c r="D30" i="13" a="1"/>
  <c r="D31" i="13" a="1"/>
  <c r="D8" i="13"/>
  <c r="A1" i="13"/>
  <c r="D17" i="12" a="1"/>
  <c r="D18" i="12" a="1"/>
  <c r="D19" i="12" a="1"/>
  <c r="D20" i="12" a="1"/>
  <c r="D21" i="12" a="1"/>
  <c r="D22" i="12" a="1"/>
  <c r="D23" i="12" a="1"/>
  <c r="D24" i="12" a="1"/>
  <c r="D25" i="12" a="1"/>
  <c r="D26" i="12" a="1"/>
  <c r="D27" i="12" a="1"/>
  <c r="D28" i="12" a="1"/>
  <c r="D29" i="12" a="1"/>
  <c r="D30" i="12" a="1"/>
  <c r="D31" i="12" a="1"/>
  <c r="D8" i="12"/>
  <c r="A1" i="12"/>
  <c r="D17" i="11" a="1"/>
  <c r="D18" i="11" a="1"/>
  <c r="D19" i="11" a="1"/>
  <c r="D20" i="11" a="1"/>
  <c r="D21" i="11" a="1"/>
  <c r="D22" i="11" a="1"/>
  <c r="D23" i="11" a="1"/>
  <c r="D24" i="11" a="1"/>
  <c r="D25" i="11" a="1"/>
  <c r="D26" i="11" a="1"/>
  <c r="D27" i="11" a="1"/>
  <c r="D28" i="11" a="1"/>
  <c r="D29" i="11" a="1"/>
  <c r="D30" i="11" a="1"/>
  <c r="D31" i="11" a="1"/>
  <c r="D8" i="11"/>
  <c r="A1" i="11"/>
  <c r="D17" i="10" a="1"/>
  <c r="D18" i="10" a="1"/>
  <c r="D19" i="10" a="1"/>
  <c r="D20" i="10" a="1"/>
  <c r="D21" i="10" a="1"/>
  <c r="D22" i="10" a="1"/>
  <c r="D23" i="10" a="1"/>
  <c r="D24" i="10" a="1"/>
  <c r="D25" i="10" a="1"/>
  <c r="D26" i="10" a="1"/>
  <c r="D27" i="10" a="1"/>
  <c r="D28" i="10" a="1"/>
  <c r="D29" i="10" a="1"/>
  <c r="D30" i="10" a="1"/>
  <c r="D31" i="10" a="1"/>
  <c r="D8" i="10"/>
  <c r="A1" i="10"/>
  <c r="D17" i="9" a="1"/>
  <c r="D18" i="9" a="1"/>
  <c r="D19" i="9" a="1"/>
  <c r="D20" i="9" a="1"/>
  <c r="D21" i="9" a="1"/>
  <c r="D22" i="9" a="1"/>
  <c r="D23" i="9" a="1"/>
  <c r="D24" i="9" a="1"/>
  <c r="D25" i="9" a="1"/>
  <c r="D26" i="9" a="1"/>
  <c r="D27" i="9" a="1"/>
  <c r="D28" i="9" a="1"/>
  <c r="D29" i="9" a="1"/>
  <c r="D30" i="9" a="1"/>
  <c r="D31" i="9" a="1"/>
  <c r="D8" i="9"/>
  <c r="A1" i="9"/>
  <c r="D17" i="8" a="1"/>
  <c r="D18" i="8" a="1"/>
  <c r="D19" i="8" a="1"/>
  <c r="D20" i="8" a="1"/>
  <c r="D21" i="8" a="1"/>
  <c r="D22" i="8" a="1"/>
  <c r="D23" i="8" a="1"/>
  <c r="D24" i="8" a="1"/>
  <c r="D25" i="8" a="1"/>
  <c r="D26" i="8" a="1"/>
  <c r="D27" i="8" a="1"/>
  <c r="D28" i="8" a="1"/>
  <c r="D29" i="8" a="1"/>
  <c r="D30" i="8" a="1"/>
  <c r="D31" i="8" a="1"/>
  <c r="D8" i="8"/>
  <c r="A1" i="8"/>
  <c r="D17" i="7" a="1"/>
  <c r="D18" i="7" a="1"/>
  <c r="D19" i="7" a="1"/>
  <c r="D20" i="7" a="1"/>
  <c r="D21" i="7" a="1"/>
  <c r="D22" i="7" a="1"/>
  <c r="D23" i="7" a="1"/>
  <c r="D24" i="7" a="1"/>
  <c r="D25" i="7" a="1"/>
  <c r="D26" i="7" a="1"/>
  <c r="D27" i="7" a="1"/>
  <c r="D28" i="7" a="1"/>
  <c r="D29" i="7" a="1"/>
  <c r="D30" i="7" a="1"/>
  <c r="D31" i="7" a="1"/>
  <c r="D8" i="7"/>
  <c r="A1" i="7"/>
  <c r="D17" i="6" a="1"/>
  <c r="D18" i="6" a="1"/>
  <c r="D19" i="6" a="1"/>
  <c r="D20" i="6" a="1"/>
  <c r="D21" i="6" a="1"/>
  <c r="D22" i="6" a="1"/>
  <c r="D23" i="6" a="1"/>
  <c r="D24" i="6" a="1"/>
  <c r="D25" i="6" a="1"/>
  <c r="D26" i="6" a="1"/>
  <c r="D27" i="6" a="1"/>
  <c r="D28" i="6" a="1"/>
  <c r="D29" i="6" a="1"/>
  <c r="D30" i="6" a="1"/>
  <c r="D31" i="6" a="1"/>
  <c r="D8" i="6"/>
  <c r="A1" i="6"/>
  <c r="D17" i="5" a="1"/>
  <c r="D18" i="5" a="1"/>
  <c r="D19" i="5" a="1"/>
  <c r="D20" i="5" a="1"/>
  <c r="D21" i="5" a="1"/>
  <c r="D22" i="5" a="1"/>
  <c r="D23" i="5" a="1"/>
  <c r="D24" i="5" a="1"/>
  <c r="D25" i="5" a="1"/>
  <c r="D26" i="5" a="1"/>
  <c r="D27" i="5" a="1"/>
  <c r="D28" i="5" a="1"/>
  <c r="D29" i="5" a="1"/>
  <c r="D30" i="5" a="1"/>
  <c r="D31" i="5" a="1"/>
  <c r="D8" i="5"/>
  <c r="A1" i="5"/>
  <c r="D17" i="4" a="1"/>
  <c r="D18" i="4" a="1"/>
  <c r="D19" i="4" a="1"/>
  <c r="D20" i="4" a="1"/>
  <c r="D21" i="4" a="1"/>
  <c r="D22" i="4" a="1"/>
  <c r="D23" i="4" a="1"/>
  <c r="D24" i="4" a="1"/>
  <c r="D25" i="4" a="1"/>
  <c r="D26" i="4" a="1"/>
  <c r="D27" i="4" a="1"/>
  <c r="D28" i="4" a="1"/>
  <c r="D29" i="4" a="1"/>
  <c r="D30" i="4" a="1"/>
  <c r="D31" i="4" a="1"/>
  <c r="D8" i="4"/>
  <c r="A1" i="4"/>
  <c r="D17" i="3" a="1"/>
  <c r="D18" i="3" a="1"/>
  <c r="D19" i="3" a="1"/>
  <c r="D20" i="3" a="1"/>
  <c r="D21" i="3" a="1"/>
  <c r="D22" i="3" a="1"/>
  <c r="D23" i="3" a="1"/>
  <c r="D24" i="3" a="1"/>
  <c r="D25" i="3" a="1"/>
  <c r="D26" i="3" a="1"/>
  <c r="D27" i="3" a="1"/>
  <c r="D28" i="3" a="1"/>
  <c r="D29" i="3" a="1"/>
  <c r="D30" i="3" a="1"/>
  <c r="D31" i="3" a="1"/>
  <c r="D8" i="3"/>
  <c r="A1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L4" i="2"/>
  <c r="J4" i="2"/>
  <c r="D4" i="2"/>
  <c r="D37" i="24"/>
  <c r="D36" i="24"/>
  <c r="G9" i="23"/>
  <c r="F9" i="23"/>
  <c r="G8" i="23"/>
  <c r="F8" i="23"/>
  <c r="G7" i="23"/>
  <c r="F7" i="23"/>
  <c r="G6" i="23"/>
  <c r="F6" i="23"/>
  <c r="G5" i="23"/>
  <c r="F5" i="23"/>
  <c r="G4" i="23"/>
  <c r="F4" i="23"/>
  <c r="B14" i="22"/>
  <c r="C13" i="22"/>
  <c r="C12" i="22"/>
  <c r="C11" i="22"/>
  <c r="C10" i="22"/>
  <c r="C9" i="22"/>
  <c r="C8" i="22"/>
  <c r="C7" i="22"/>
  <c r="C6" i="22"/>
  <c r="C5" i="22"/>
  <c r="C4" i="22"/>
  <c r="B33" i="21"/>
  <c r="B29" i="21"/>
  <c r="B25" i="21"/>
  <c r="B21" i="21"/>
  <c r="B17" i="21"/>
  <c r="B13" i="21"/>
  <c r="B9" i="21"/>
  <c r="B5" i="21"/>
  <c r="B23" i="20"/>
  <c r="E22" i="20"/>
  <c r="D22" i="20"/>
  <c r="E21" i="20"/>
  <c r="D21" i="20"/>
  <c r="E20" i="20"/>
  <c r="D20" i="20"/>
  <c r="E19" i="20"/>
  <c r="D19" i="20"/>
  <c r="E18" i="20"/>
  <c r="D18" i="20"/>
  <c r="E17" i="20"/>
  <c r="D17" i="20"/>
  <c r="E16" i="20"/>
  <c r="D16" i="20"/>
  <c r="E15" i="20"/>
  <c r="D15" i="20"/>
  <c r="C11" i="20"/>
  <c r="B11" i="20"/>
  <c r="D10" i="20"/>
  <c r="D9" i="20"/>
  <c r="D8" i="20"/>
  <c r="D7" i="20"/>
  <c r="B25" i="18"/>
  <c r="B15" i="18"/>
  <c r="C4" i="18"/>
  <c r="B4" i="18"/>
  <c r="D12" i="17"/>
  <c r="C12" i="17"/>
  <c r="B12" i="17"/>
  <c r="H11" i="17"/>
  <c r="F11" i="17"/>
  <c r="E11" i="17"/>
  <c r="H10" i="17"/>
  <c r="F10" i="17"/>
  <c r="E10" i="17"/>
  <c r="H9" i="17"/>
  <c r="F9" i="17"/>
  <c r="E9" i="17"/>
  <c r="H8" i="17"/>
  <c r="F8" i="17"/>
  <c r="E8" i="17"/>
  <c r="H7" i="17"/>
  <c r="F7" i="17"/>
  <c r="E7" i="17"/>
  <c r="H6" i="17"/>
  <c r="F6" i="17"/>
  <c r="E6" i="17"/>
  <c r="H5" i="17"/>
  <c r="F5" i="17"/>
  <c r="E5" i="17"/>
  <c r="H4" i="17"/>
  <c r="F4" i="17"/>
  <c r="E4" i="17"/>
  <c r="D10" i="16"/>
  <c r="B10" i="16"/>
  <c r="G9" i="16"/>
  <c r="F9" i="16"/>
  <c r="H8" i="16"/>
  <c r="G8" i="16"/>
  <c r="F8" i="16"/>
  <c r="G7" i="16"/>
  <c r="F7" i="16"/>
  <c r="G6" i="16"/>
  <c r="F6" i="16"/>
  <c r="G5" i="16"/>
  <c r="F5" i="16"/>
  <c r="C16" i="15"/>
  <c r="C32" i="14"/>
  <c r="E12" i="14"/>
  <c r="E11" i="14"/>
  <c r="E10" i="14"/>
  <c r="E9" i="14"/>
  <c r="C32" i="13"/>
  <c r="E12" i="13"/>
  <c r="E11" i="13"/>
  <c r="E10" i="13"/>
  <c r="E9" i="13"/>
  <c r="C32" i="12"/>
  <c r="E12" i="12"/>
  <c r="E11" i="12"/>
  <c r="E10" i="12"/>
  <c r="E9" i="12"/>
  <c r="C32" i="11"/>
  <c r="E12" i="11"/>
  <c r="E11" i="11"/>
  <c r="E10" i="11"/>
  <c r="E9" i="11"/>
  <c r="C32" i="10"/>
  <c r="E12" i="10"/>
  <c r="E11" i="10"/>
  <c r="E10" i="10"/>
  <c r="E9" i="10"/>
  <c r="C32" i="9"/>
  <c r="E12" i="9"/>
  <c r="E11" i="9"/>
  <c r="E10" i="9"/>
  <c r="E9" i="9"/>
  <c r="C32" i="8"/>
  <c r="E12" i="8"/>
  <c r="E11" i="8"/>
  <c r="E10" i="8"/>
  <c r="E9" i="8"/>
  <c r="C32" i="7"/>
  <c r="E12" i="7"/>
  <c r="E11" i="7"/>
  <c r="E10" i="7"/>
  <c r="E9" i="7"/>
  <c r="C32" i="6"/>
  <c r="E12" i="6"/>
  <c r="E11" i="6"/>
  <c r="E10" i="6"/>
  <c r="E9" i="6"/>
  <c r="C32" i="5"/>
  <c r="E12" i="5"/>
  <c r="E11" i="5"/>
  <c r="E10" i="5"/>
  <c r="E9" i="5"/>
  <c r="C32" i="4"/>
  <c r="E12" i="4"/>
  <c r="E11" i="4"/>
  <c r="E10" i="4"/>
  <c r="E9" i="4"/>
  <c r="C32" i="3"/>
  <c r="E12" i="3"/>
  <c r="E11" i="3"/>
  <c r="E10" i="3"/>
  <c r="E9" i="3"/>
  <c r="C13" i="7" l="1"/>
  <c r="C13" i="6"/>
  <c r="C13" i="8"/>
  <c r="C13" i="9"/>
  <c r="C13" i="12"/>
  <c r="C13" i="13"/>
  <c r="C13" i="14"/>
  <c r="C13" i="11"/>
  <c r="C13" i="10"/>
  <c r="C13" i="5"/>
  <c r="C13" i="4"/>
  <c r="C13" i="3"/>
  <c r="D13" i="11"/>
  <c r="D13" i="3"/>
  <c r="E30" i="7"/>
  <c r="B13" i="19"/>
  <c r="B8" i="19"/>
  <c r="B18" i="19"/>
  <c r="E24" i="4"/>
  <c r="E22" i="14"/>
  <c r="E8" i="14"/>
  <c r="D13" i="13"/>
  <c r="E8" i="13"/>
  <c r="D32" i="12"/>
  <c r="E31" i="12"/>
  <c r="E29" i="12"/>
  <c r="E28" i="12"/>
  <c r="E27" i="12"/>
  <c r="E25" i="12"/>
  <c r="E23" i="12"/>
  <c r="E21" i="12"/>
  <c r="E19" i="12"/>
  <c r="E17" i="12"/>
  <c r="D13" i="12"/>
  <c r="D32" i="11"/>
  <c r="E31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31" i="8"/>
  <c r="E28" i="8"/>
  <c r="E26" i="8"/>
  <c r="E25" i="8"/>
  <c r="E23" i="8"/>
  <c r="E21" i="8"/>
  <c r="E20" i="8"/>
  <c r="E18" i="8"/>
  <c r="D13" i="8"/>
  <c r="D32" i="7"/>
  <c r="E29" i="7"/>
  <c r="E28" i="7"/>
  <c r="E27" i="7"/>
  <c r="E26" i="7"/>
  <c r="E25" i="7"/>
  <c r="E24" i="7"/>
  <c r="E22" i="7"/>
  <c r="E20" i="7"/>
  <c r="E19" i="7"/>
  <c r="E17" i="7"/>
  <c r="E24" i="6"/>
  <c r="E23" i="6"/>
  <c r="E21" i="6"/>
  <c r="E20" i="6"/>
  <c r="E18" i="6"/>
  <c r="D13" i="6"/>
  <c r="E8" i="5"/>
  <c r="E30" i="4"/>
  <c r="E29" i="4"/>
  <c r="E27" i="4"/>
  <c r="E25" i="4"/>
  <c r="E22" i="4"/>
  <c r="E20" i="4"/>
  <c r="E18" i="4"/>
  <c r="E17" i="4"/>
  <c r="E8" i="4"/>
  <c r="D13" i="14"/>
  <c r="E30" i="12"/>
  <c r="E26" i="12"/>
  <c r="E24" i="12"/>
  <c r="E22" i="12"/>
  <c r="E20" i="12"/>
  <c r="E18" i="12"/>
  <c r="E8" i="12"/>
  <c r="E30" i="11"/>
  <c r="E8" i="11"/>
  <c r="D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D13" i="10"/>
  <c r="E8" i="10"/>
  <c r="D13" i="9"/>
  <c r="E8" i="9"/>
  <c r="D32" i="8"/>
  <c r="E30" i="8"/>
  <c r="E29" i="8"/>
  <c r="E27" i="8"/>
  <c r="E24" i="8"/>
  <c r="E22" i="8"/>
  <c r="E19" i="8"/>
  <c r="E17" i="8"/>
  <c r="E8" i="8"/>
  <c r="E23" i="7"/>
  <c r="E21" i="7"/>
  <c r="E18" i="7"/>
  <c r="E25" i="6"/>
  <c r="E22" i="6"/>
  <c r="E19" i="6"/>
  <c r="E17" i="6"/>
  <c r="E8" i="6"/>
  <c r="D32" i="4"/>
  <c r="E28" i="4"/>
  <c r="E26" i="4"/>
  <c r="E23" i="4"/>
  <c r="E21" i="4"/>
  <c r="E19" i="4"/>
  <c r="D13" i="4"/>
  <c r="D32" i="14"/>
  <c r="E31" i="14"/>
  <c r="E30" i="14"/>
  <c r="E29" i="14"/>
  <c r="E28" i="14"/>
  <c r="E27" i="14"/>
  <c r="E26" i="14"/>
  <c r="E25" i="14"/>
  <c r="E24" i="14"/>
  <c r="E23" i="14"/>
  <c r="E21" i="14"/>
  <c r="E20" i="14"/>
  <c r="E19" i="14"/>
  <c r="E18" i="14"/>
  <c r="E17" i="14"/>
  <c r="E31" i="13"/>
  <c r="E30" i="13"/>
  <c r="E29" i="13"/>
  <c r="E28" i="13"/>
  <c r="E27" i="13"/>
  <c r="E26" i="13"/>
  <c r="E25" i="13"/>
  <c r="E24" i="13"/>
  <c r="E23" i="13"/>
  <c r="E22" i="13"/>
  <c r="E21" i="13"/>
  <c r="E19" i="13"/>
  <c r="E18" i="13"/>
  <c r="E17" i="13"/>
  <c r="D32" i="13"/>
  <c r="E20" i="13"/>
  <c r="E31" i="9"/>
  <c r="E30" i="9"/>
  <c r="E28" i="9"/>
  <c r="E27" i="9"/>
  <c r="E25" i="9"/>
  <c r="E24" i="9"/>
  <c r="E22" i="9"/>
  <c r="E20" i="9"/>
  <c r="E18" i="9"/>
  <c r="D32" i="9"/>
  <c r="E29" i="9"/>
  <c r="E26" i="9"/>
  <c r="E23" i="9"/>
  <c r="E21" i="9"/>
  <c r="E19" i="9"/>
  <c r="E17" i="9"/>
  <c r="E31" i="7"/>
  <c r="D13" i="7"/>
  <c r="E8" i="7"/>
  <c r="E31" i="6"/>
  <c r="D32" i="6"/>
  <c r="E30" i="6"/>
  <c r="E29" i="6"/>
  <c r="E28" i="6"/>
  <c r="E27" i="6"/>
  <c r="E26" i="6"/>
  <c r="E31" i="5"/>
  <c r="E30" i="5"/>
  <c r="E29" i="5"/>
  <c r="E28" i="5"/>
  <c r="E27" i="5"/>
  <c r="E26" i="5"/>
  <c r="E25" i="5"/>
  <c r="E24" i="5"/>
  <c r="E22" i="5"/>
  <c r="E21" i="5"/>
  <c r="E19" i="5"/>
  <c r="E17" i="5"/>
  <c r="D32" i="5"/>
  <c r="E23" i="5"/>
  <c r="E20" i="5"/>
  <c r="E18" i="5"/>
  <c r="D13" i="5"/>
  <c r="E31" i="4"/>
  <c r="D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8" i="3"/>
  <c r="C5" i="14"/>
  <c r="C5" i="13"/>
  <c r="C5" i="12"/>
  <c r="C5" i="11"/>
  <c r="C5" i="10"/>
  <c r="C5" i="9"/>
  <c r="C5" i="8"/>
  <c r="C5" i="7"/>
  <c r="C5" i="6"/>
  <c r="C5" i="5"/>
  <c r="C5" i="4"/>
  <c r="C5" i="3"/>
  <c r="H7" i="16"/>
  <c r="I7" i="16" s="1"/>
  <c r="H6" i="16"/>
  <c r="I6" i="16" s="1"/>
  <c r="H5" i="16"/>
  <c r="I5" i="16" s="1"/>
  <c r="C14" i="22"/>
  <c r="E23" i="20"/>
  <c r="D23" i="20"/>
  <c r="D11" i="20"/>
  <c r="E10" i="20"/>
  <c r="E9" i="20"/>
  <c r="E8" i="20"/>
  <c r="E7" i="20"/>
  <c r="B27" i="18"/>
  <c r="D4" i="18" s="1"/>
  <c r="G11" i="17"/>
  <c r="G10" i="17"/>
  <c r="G9" i="17"/>
  <c r="G8" i="17"/>
  <c r="G7" i="17"/>
  <c r="G6" i="17"/>
  <c r="G5" i="17"/>
  <c r="G4" i="17"/>
  <c r="G10" i="16"/>
  <c r="F10" i="16"/>
  <c r="H9" i="16"/>
  <c r="I9" i="16" s="1"/>
  <c r="I8" i="16"/>
  <c r="C34" i="8" l="1"/>
  <c r="C4" i="7"/>
  <c r="C4" i="8"/>
  <c r="C4" i="6"/>
  <c r="C34" i="7"/>
  <c r="C34" i="6"/>
  <c r="C4" i="12"/>
  <c r="C34" i="14"/>
  <c r="C34" i="13"/>
  <c r="C34" i="12"/>
  <c r="C34" i="11"/>
  <c r="C34" i="10"/>
  <c r="C34" i="9"/>
  <c r="C34" i="4"/>
  <c r="C4" i="11"/>
  <c r="C4" i="9"/>
  <c r="C4" i="14"/>
  <c r="C4" i="4"/>
  <c r="C4" i="13"/>
  <c r="C4" i="10"/>
  <c r="C4" i="5"/>
  <c r="C34" i="5"/>
  <c r="C4" i="3"/>
  <c r="C34" i="3"/>
  <c r="D13" i="19"/>
  <c r="D8" i="19"/>
  <c r="A3" i="14"/>
  <c r="B19" i="2"/>
  <c r="B18" i="2"/>
  <c r="B17" i="2"/>
  <c r="A3" i="12"/>
  <c r="A3" i="10"/>
  <c r="B15" i="2"/>
  <c r="C19" i="2"/>
  <c r="C3" i="14"/>
  <c r="C18" i="2"/>
  <c r="C3" i="13"/>
  <c r="C17" i="2"/>
  <c r="C3" i="12"/>
  <c r="C15" i="2"/>
  <c r="C3" i="10"/>
  <c r="C14" i="2"/>
  <c r="C3" i="9"/>
  <c r="C13" i="2"/>
  <c r="C3" i="8"/>
  <c r="C12" i="2"/>
  <c r="C3" i="7"/>
  <c r="C11" i="2"/>
  <c r="C3" i="6"/>
  <c r="C10" i="2"/>
  <c r="C3" i="5"/>
  <c r="C9" i="2"/>
  <c r="C3" i="4"/>
  <c r="C3" i="3"/>
  <c r="C8" i="2"/>
  <c r="A3" i="11" l="1"/>
  <c r="A3" i="13"/>
  <c r="B16" i="2"/>
  <c r="A3" i="7"/>
  <c r="B12" i="2"/>
  <c r="D12" i="2" s="1"/>
  <c r="B14" i="2"/>
  <c r="A3" i="9"/>
  <c r="A3" i="8"/>
  <c r="B13" i="2"/>
  <c r="B11" i="2"/>
  <c r="A3" i="6"/>
  <c r="B10" i="2"/>
  <c r="A3" i="5"/>
  <c r="B9" i="2"/>
  <c r="A3" i="4"/>
  <c r="E3" i="14"/>
  <c r="E3" i="8"/>
  <c r="E3" i="6"/>
  <c r="E3" i="7"/>
  <c r="E3" i="13"/>
  <c r="E3" i="12"/>
  <c r="E3" i="4"/>
  <c r="E3" i="9"/>
  <c r="D18" i="2"/>
  <c r="D17" i="2"/>
  <c r="D15" i="2"/>
  <c r="E3" i="10"/>
  <c r="E3" i="5"/>
  <c r="B8" i="2"/>
  <c r="A3" i="3"/>
  <c r="E3" i="3"/>
  <c r="D19" i="2"/>
  <c r="E3" i="11"/>
  <c r="C3" i="11"/>
  <c r="C16" i="2"/>
  <c r="D16" i="2" l="1"/>
  <c r="D8" i="2"/>
  <c r="D14" i="2"/>
  <c r="D11" i="2"/>
  <c r="D10" i="2"/>
  <c r="F10" i="2" s="1"/>
  <c r="B20" i="2"/>
  <c r="B4" i="2" s="1"/>
  <c r="D13" i="2"/>
  <c r="D9" i="2"/>
  <c r="E12" i="2"/>
  <c r="F12" i="2"/>
  <c r="F18" i="2"/>
  <c r="E18" i="2"/>
  <c r="E17" i="2"/>
  <c r="F17" i="2"/>
  <c r="E15" i="2"/>
  <c r="F15" i="2"/>
  <c r="F19" i="2"/>
  <c r="E19" i="2"/>
  <c r="C20" i="2"/>
  <c r="F16" i="2" l="1"/>
  <c r="E16" i="2"/>
  <c r="F8" i="2"/>
  <c r="E8" i="2"/>
  <c r="E14" i="2"/>
  <c r="F14" i="2"/>
  <c r="E11" i="2"/>
  <c r="F11" i="2"/>
  <c r="F13" i="2"/>
  <c r="F9" i="2"/>
  <c r="D20" i="2"/>
  <c r="E10" i="2"/>
  <c r="E13" i="2"/>
  <c r="E9" i="2"/>
  <c r="E20" i="2" l="1"/>
  <c r="H4" i="2"/>
  <c r="F4" i="2"/>
  <c r="C18" i="19"/>
  <c r="D18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<sst xmlns="http://schemas.openxmlformats.org/spreadsheetml/2006/main" count="909" uniqueCount="279">
  <si>
    <t>💰 ULTIMATE ANNUAL BUDGET</t>
  </si>
  <si>
    <t>Dark Mode Edition  ·  Google Sheets / Excel Compatible</t>
  </si>
  <si>
    <t>Personal Information</t>
  </si>
  <si>
    <t>Your Name</t>
  </si>
  <si>
    <t>← Enter your information here</t>
  </si>
  <si>
    <t>Monthly Net Income</t>
  </si>
  <si>
    <t>Savings Goal %</t>
  </si>
  <si>
    <t>Currency</t>
  </si>
  <si>
    <t>USD</t>
  </si>
  <si>
    <t>Year</t>
  </si>
  <si>
    <t>Pay Frequency</t>
  </si>
  <si>
    <t>Biweekly</t>
  </si>
  <si>
    <t>Expense Categories (customize)</t>
  </si>
  <si>
    <t>Housing</t>
  </si>
  <si>
    <t>← Optional budget limit</t>
  </si>
  <si>
    <t>Transportation</t>
  </si>
  <si>
    <t>Food &amp; Groceries</t>
  </si>
  <si>
    <t>Utilities</t>
  </si>
  <si>
    <t>Insurance</t>
  </si>
  <si>
    <t>Healthcare</t>
  </si>
  <si>
    <t>Entertainment</t>
  </si>
  <si>
    <t>Clothing</t>
  </si>
  <si>
    <t>Personal Care</t>
  </si>
  <si>
    <t>Education</t>
  </si>
  <si>
    <t>Subscriptions</t>
  </si>
  <si>
    <t>Pets</t>
  </si>
  <si>
    <t>Gifts &amp; Donations</t>
  </si>
  <si>
    <t>Travel</t>
  </si>
  <si>
    <t>Miscellaneous</t>
  </si>
  <si>
    <t>📊 ANNUAL DASHBOARD  2025</t>
  </si>
  <si>
    <t>TOTAL INCOME</t>
  </si>
  <si>
    <t>TOTAL EXPENSES</t>
  </si>
  <si>
    <t>NET SAVINGS</t>
  </si>
  <si>
    <t>SAVINGS RATE</t>
  </si>
  <si>
    <t>DEBT PAYMENTS</t>
  </si>
  <si>
    <t>NET WORTH</t>
  </si>
  <si>
    <t>Monthly Summary</t>
  </si>
  <si>
    <t>Month</t>
  </si>
  <si>
    <t>Income</t>
  </si>
  <si>
    <t>Expenses</t>
  </si>
  <si>
    <t>Net</t>
  </si>
  <si>
    <t>Savings %</t>
  </si>
  <si>
    <t>Status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</si>
  <si>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</si>
  <si>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</si>
  <si>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</si>
  <si>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</si>
  <si>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</si>
  <si>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</si>
  <si>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</si>
  <si>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</si>
  <si>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</si>
  <si>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</si>
  <si>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</si>
  <si>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</si>
  <si>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</si>
  <si>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INCOME</t>
  </si>
  <si>
    <t>EXPENSES</t>
  </si>
  <si>
    <t>NET</t>
  </si>
  <si>
    <t>Total Income</t>
  </si>
  <si>
    <t>Total Expenses</t>
  </si>
  <si>
    <t>Source</t>
  </si>
  <si>
    <t>Notes</t>
  </si>
  <si>
    <t>Amount</t>
  </si>
  <si>
    <t>Budget</t>
  </si>
  <si>
    <t>Difference</t>
  </si>
  <si>
    <t>Primary Salary</t>
  </si>
  <si>
    <t>Secondary Income</t>
  </si>
  <si>
    <t>Freelance / Side Hustle</t>
  </si>
  <si>
    <t>Investment Income</t>
  </si>
  <si>
    <t>Other Income</t>
  </si>
  <si>
    <t>Category</t>
  </si>
  <si>
    <t>Actual</t>
  </si>
  <si>
    <t>NET BALANCE</t>
  </si>
  <si>
    <t>🗓 BILL CALENDAR  —  Monthly Payment Tracker</t>
  </si>
  <si>
    <t>Bill / Service</t>
  </si>
  <si>
    <t>Due Day</t>
  </si>
  <si>
    <t>Frequency</t>
  </si>
  <si>
    <t>Auto-pay?</t>
  </si>
  <si>
    <t>Rent / Mortgage</t>
  </si>
  <si>
    <t>Monthly</t>
  </si>
  <si>
    <t>Yes</t>
  </si>
  <si>
    <t>✓ Paid</t>
  </si>
  <si>
    <t>Electricity</t>
  </si>
  <si>
    <t>No</t>
  </si>
  <si>
    <t>⏳ Pending</t>
  </si>
  <si>
    <t>Internet</t>
  </si>
  <si>
    <t>Car Payment</t>
  </si>
  <si>
    <t>Car Insurance</t>
  </si>
  <si>
    <t>Health Insurance</t>
  </si>
  <si>
    <t>Netflix</t>
  </si>
  <si>
    <t>Spotify</t>
  </si>
  <si>
    <t>Gym</t>
  </si>
  <si>
    <t>Student Loan</t>
  </si>
  <si>
    <t>Credit Card Min</t>
  </si>
  <si>
    <t>✗ Late</t>
  </si>
  <si>
    <t>Debt</t>
  </si>
  <si>
    <t>Phone Bill</t>
  </si>
  <si>
    <t>MONTHLY TOTAL</t>
  </si>
  <si>
    <t>💳 DEBT TRACKER  —  Snowball &amp; Avalanche Methods</t>
  </si>
  <si>
    <t>Snowball = pay smallest balance first  |  Avalanche = pay highest APR first</t>
  </si>
  <si>
    <t>Debt Name</t>
  </si>
  <si>
    <t>Balance</t>
  </si>
  <si>
    <t>APR %</t>
  </si>
  <si>
    <t>Min Payment</t>
  </si>
  <si>
    <t>Extra Payment</t>
  </si>
  <si>
    <t>Total Payment</t>
  </si>
  <si>
    <t>Interest/Mo</t>
  </si>
  <si>
    <t>Months Left</t>
  </si>
  <si>
    <t>Payoff Date</t>
  </si>
  <si>
    <t>Method</t>
  </si>
  <si>
    <t>Priority</t>
  </si>
  <si>
    <t>Credit Card A</t>
  </si>
  <si>
    <t>Avalanche</t>
  </si>
  <si>
    <t>Credit Card B</t>
  </si>
  <si>
    <t>Snowball</t>
  </si>
  <si>
    <t>Car Loan</t>
  </si>
  <si>
    <t>Personal Loan</t>
  </si>
  <si>
    <t>💡 Tip: Put extra $ into 'Extra Payment' column — recalculates automatically</t>
  </si>
  <si>
    <t>💰 SAVINGS TRACKER  —  Goals &amp; Sinking Funds</t>
  </si>
  <si>
    <t>Goal / Fund</t>
  </si>
  <si>
    <t>Target Amount</t>
  </si>
  <si>
    <t>Saved So Far</t>
  </si>
  <si>
    <t>Monthly Contribution</t>
  </si>
  <si>
    <t>Months to Goal</t>
  </si>
  <si>
    <t>% Complete</t>
  </si>
  <si>
    <t>Target Date</t>
  </si>
  <si>
    <t>Emergency Fund (3-6 mo)</t>
  </si>
  <si>
    <t>Vacation Fund</t>
  </si>
  <si>
    <t>New Car Down Payment</t>
  </si>
  <si>
    <t>Home Down Payment</t>
  </si>
  <si>
    <t>Holiday / Gifts Fund</t>
  </si>
  <si>
    <t>Electronics / Tech</t>
  </si>
  <si>
    <t>Home Repairs Fund</t>
  </si>
  <si>
    <t>Investment Fund</t>
  </si>
  <si>
    <t>📈 NET WORTH TRACKER  —  Assets vs Liabilities</t>
  </si>
  <si>
    <t>TOTAL ASSETS</t>
  </si>
  <si>
    <t>TOTAL LIABILITIES</t>
  </si>
  <si>
    <t>Assets</t>
  </si>
  <si>
    <t>Asset</t>
  </si>
  <si>
    <t>Value</t>
  </si>
  <si>
    <t>Type</t>
  </si>
  <si>
    <t>Checking Account</t>
  </si>
  <si>
    <t>Cash</t>
  </si>
  <si>
    <t>Savings Account</t>
  </si>
  <si>
    <t>Investment Portfolio</t>
  </si>
  <si>
    <t>Investment</t>
  </si>
  <si>
    <t>401k / IRA</t>
  </si>
  <si>
    <t>Retirement</t>
  </si>
  <si>
    <t>Home Value</t>
  </si>
  <si>
    <t>Real Estate</t>
  </si>
  <si>
    <t>Car Value</t>
  </si>
  <si>
    <t>Vehicle</t>
  </si>
  <si>
    <t>Other Assets</t>
  </si>
  <si>
    <t>Other</t>
  </si>
  <si>
    <t>Liabilities</t>
  </si>
  <si>
    <t>Liability</t>
  </si>
  <si>
    <t>Mortgage</t>
  </si>
  <si>
    <t>⚖ 50 / 30 / 20 RULE  —  Budget Distribution</t>
  </si>
  <si>
    <t>50% — NEEDS</t>
  </si>
  <si>
    <t>Housing, Bills, Food, Transportation, Insurance</t>
  </si>
  <si>
    <t>Recommended</t>
  </si>
  <si>
    <t>Your Actual</t>
  </si>
  <si>
    <t>30% — WANTS</t>
  </si>
  <si>
    <t>Entertainment, Dining Out, Shopping, Hobbies</t>
  </si>
  <si>
    <t>20% — SAVINGS</t>
  </si>
  <si>
    <t>Emergency Fund, Investments, Debt Payoff</t>
  </si>
  <si>
    <t>👫 COUPLES BUDGET  —  Shared &amp; Individual Finances</t>
  </si>
  <si>
    <t>Partner 1 Name:</t>
  </si>
  <si>
    <t>Partner 1</t>
  </si>
  <si>
    <t>Partner 2 Name:</t>
  </si>
  <si>
    <t>Partner 2</t>
  </si>
  <si>
    <t>Combined Income</t>
  </si>
  <si>
    <t>Combined</t>
  </si>
  <si>
    <t>% of Total</t>
  </si>
  <si>
    <t>Side Hustle</t>
  </si>
  <si>
    <t>100%</t>
  </si>
  <si>
    <t>Shared Expenses</t>
  </si>
  <si>
    <t>Total Cost</t>
  </si>
  <si>
    <t>Partner 1 Share %</t>
  </si>
  <si>
    <t>Partner 1 Pays</t>
  </si>
  <si>
    <t>Partner 2 Pays</t>
  </si>
  <si>
    <t>Groceries</t>
  </si>
  <si>
    <t>Streaming Services</t>
  </si>
  <si>
    <t>Eating Out</t>
  </si>
  <si>
    <t>Vacations</t>
  </si>
  <si>
    <t>Joint Savings</t>
  </si>
  <si>
    <t>TOTAL SHARED</t>
  </si>
  <si>
    <t>Individual Spending</t>
  </si>
  <si>
    <t>Partner 1 Budget</t>
  </si>
  <si>
    <t>Partner 1 Actual</t>
  </si>
  <si>
    <t>Partner 2 Budget</t>
  </si>
  <si>
    <t>Partner 2 Actual</t>
  </si>
  <si>
    <t>Personal Shopping</t>
  </si>
  <si>
    <t>Hobbies</t>
  </si>
  <si>
    <t>Dining (personal)</t>
  </si>
  <si>
    <t>Gym / Fitness</t>
  </si>
  <si>
    <t>Subscriptions (personal)</t>
  </si>
  <si>
    <t>🧠 ADHD-FRIENDLY BUDGET  —  Simple. Visual. Clear.</t>
  </si>
  <si>
    <t>Color-coded by category  ·  Large text  ·  No overwhelm</t>
  </si>
  <si>
    <t>🏠 HOUSING</t>
  </si>
  <si>
    <t>← tap to update</t>
  </si>
  <si>
    <t>🚗 TRANSPORT</t>
  </si>
  <si>
    <t>🍎 FOOD</t>
  </si>
  <si>
    <t>⚡ UTILITIES</t>
  </si>
  <si>
    <t>🎉 FUN MONEY</t>
  </si>
  <si>
    <t>💊 HEALTH</t>
  </si>
  <si>
    <t>📚 EDUCATION</t>
  </si>
  <si>
    <t>💰 SAVINGS</t>
  </si>
  <si>
    <t>📱 SUBSCRIPTION TRACKER  —  Stop Paying for Things You Forgot</t>
  </si>
  <si>
    <t>Service</t>
  </si>
  <si>
    <t>Monthly Cost</t>
  </si>
  <si>
    <t>Annual Cost</t>
  </si>
  <si>
    <t>Renewal Date</t>
  </si>
  <si>
    <t>Auto-renew?</t>
  </si>
  <si>
    <t>Keep/Cancel?</t>
  </si>
  <si>
    <t>Streaming</t>
  </si>
  <si>
    <t>✓ Keep</t>
  </si>
  <si>
    <t>Music</t>
  </si>
  <si>
    <t>Amazon Prime</t>
  </si>
  <si>
    <t>Shopping</t>
  </si>
  <si>
    <t>YouTube Premium</t>
  </si>
  <si>
    <t>Video</t>
  </si>
  <si>
    <t>iCloud 200GB</t>
  </si>
  <si>
    <t>Storage</t>
  </si>
  <si>
    <t>Adobe CC</t>
  </si>
  <si>
    <t>Software</t>
  </si>
  <si>
    <t>ChatGPT Plus</t>
  </si>
  <si>
    <t>AI Tools</t>
  </si>
  <si>
    <t>Gym Membership</t>
  </si>
  <si>
    <t>Fitness</t>
  </si>
  <si>
    <t>Hulu</t>
  </si>
  <si>
    <t>Disney+</t>
  </si>
  <si>
    <t>TOTAL / MONTH</t>
  </si>
  <si>
    <t>💵 INCOME TRACKER  —  All Income Sources</t>
  </si>
  <si>
    <t>Date</t>
  </si>
  <si>
    <t>Source / Description</t>
  </si>
  <si>
    <t>Tax?</t>
  </si>
  <si>
    <t>After Tax</t>
  </si>
  <si>
    <t>01/15/2025</t>
  </si>
  <si>
    <t>Wages</t>
  </si>
  <si>
    <t>01/29/2025</t>
  </si>
  <si>
    <t>01/10/2025</t>
  </si>
  <si>
    <t>Freelance Project</t>
  </si>
  <si>
    <t>Self-Employment</t>
  </si>
  <si>
    <t>02/15/2025</t>
  </si>
  <si>
    <t>02/28/2025</t>
  </si>
  <si>
    <t>02/20/2025</t>
  </si>
  <si>
    <t>Rental Income</t>
  </si>
  <si>
    <t>Passive</t>
  </si>
  <si>
    <t>🎯 NO-SPEND CHALLENGE  —  30-Day Money Detox</t>
  </si>
  <si>
    <t>Mark each day: ✅ No-Spend  /  💸 Spent</t>
  </si>
  <si>
    <t>Day</t>
  </si>
  <si>
    <t>Amount Saved</t>
  </si>
  <si>
    <t>✅ No-Spend Days</t>
  </si>
  <si>
    <t>💰 Total Saved</t>
  </si>
  <si>
    <t>📖 HOW TO USE — Step by Step Guide</t>
  </si>
  <si>
    <t>STEP 1: Setup</t>
  </si>
  <si>
    <t>Go to '⚙ Setup' tab → Enter your name, monthly income, and savings goal %</t>
  </si>
  <si>
    <t>STEP 2: Monthly tracking</t>
  </si>
  <si>
    <t>Every month, open that month's tab (Jan, Feb...) → Enter income and actual expenses</t>
  </si>
  <si>
    <t>STEP 3: Bill Calendar</t>
  </si>
  <si>
    <t>Open '🗓 Bill Calendar' → Add all your recurring bills with due dates</t>
  </si>
  <si>
    <t>STEP 4: Debt Tracker</t>
  </si>
  <si>
    <t>Go to '💳 Debt Tracker' → Enter all debts, balances, and APRs</t>
  </si>
  <si>
    <t>STEP 5: Savings Goals</t>
  </si>
  <si>
    <t>Open '💰 Savings Tracker' → Set your savings goals and monthly contributions</t>
  </si>
  <si>
    <t>STEP 6: Net Worth</t>
  </si>
  <si>
    <t>Update '📈 Net Worth' monthly → Add current balances for all assets &amp; liabilities</t>
  </si>
  <si>
    <t>STEP 7: 50/30/20</t>
  </si>
  <si>
    <t>Check '⚖ 50-30-20' → Enter your monthly income to see the recommended split</t>
  </si>
  <si>
    <t>STEP 8: Dashboard</t>
  </si>
  <si>
    <t>Visit '📊 Annual Dashboard' to see your full year summary automatically</t>
  </si>
  <si>
    <t>STEP 9: Couples</t>
  </si>
  <si>
    <t>If budgeting with a partner → Use '👫 Couples Budget' tab</t>
  </si>
  <si>
    <t>STEP 10: ADHD Mode</t>
  </si>
  <si>
    <t>If you prefer visual budgeting → Use '🧠 ADHD View' for color-coded categories</t>
  </si>
  <si>
    <t>Annual Total</t>
  </si>
  <si>
    <t>camill rogers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</si>
</sst>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"/>
    <numFmt numFmtId="165" formatCode="\$#,##0;&quot;($&quot;#,##0\);\-"/>
    <numFmt numFmtId="166" formatCode="0.0%"/>
    <numFmt numFmtId="167" formatCode="0.0"/>
    <numFmt numFmtId="168" formatCode="mm/dd/yyyy"/>
    <numFmt numFmtId="169" formatCode="\$#,##0.00"/>
  </numFmts>
  <fonts count="52" x14ac:knownFonts="1">
    <font>
      <sz val="11"/>
      <color theme="1"/>
      <name val="Calibri"/>
      <family val="2"/>
      <charset val="1"/>
    </font>
    <font>
      <b/>
      <sz val="20"/>
      <color rgb="FFF1F5F9"/>
      <name val="Arial"/>
      <charset val="1"/>
    </font>
    <font>
      <i/>
      <sz val="10"/>
      <color rgb="FF94A3B8"/>
      <name val="Arial"/>
      <charset val="1"/>
    </font>
    <font>
      <b/>
      <sz val="13"/>
      <color rgb="FF7C3AED"/>
      <name val="Arial"/>
      <charset val="1"/>
    </font>
    <font>
      <sz val="10"/>
      <color rgb="FF94A3B8"/>
      <name val="Arial"/>
      <charset val="1"/>
    </font>
    <font>
      <b/>
      <sz val="11"/>
      <color rgb="FFF1F5F9"/>
      <name val="Arial"/>
      <charset val="1"/>
    </font>
    <font>
      <i/>
      <sz val="9"/>
      <color rgb="FF475569"/>
      <name val="Arial"/>
      <charset val="1"/>
    </font>
    <font>
      <sz val="10"/>
      <color rgb="FFF1F5F9"/>
      <name val="Arial"/>
      <charset val="1"/>
    </font>
    <font>
      <b/>
      <sz val="18"/>
      <color rgb="FFF1F5F9"/>
      <name val="Arial"/>
      <charset val="1"/>
    </font>
    <font>
      <b/>
      <sz val="8"/>
      <color rgb="FF94A3B8"/>
      <name val="Arial"/>
      <charset val="1"/>
    </font>
    <font>
      <b/>
      <sz val="16"/>
      <color rgb="FF10B981"/>
      <name val="Arial"/>
      <charset val="1"/>
    </font>
    <font>
      <b/>
      <sz val="16"/>
      <color rgb="FFEF4444"/>
      <name val="Arial"/>
      <charset val="1"/>
    </font>
    <font>
      <b/>
      <sz val="16"/>
      <color rgb="FFF59E0B"/>
      <name val="Arial"/>
      <charset val="1"/>
    </font>
    <font>
      <b/>
      <sz val="16"/>
      <color rgb="FF3B82F6"/>
      <name val="Arial"/>
      <charset val="1"/>
    </font>
    <font>
      <b/>
      <sz val="9"/>
      <color rgb="FFF1F5F9"/>
      <name val="Arial"/>
      <charset val="1"/>
    </font>
    <font>
      <b/>
      <sz val="10"/>
      <color rgb="FFF1F5F9"/>
      <name val="Arial"/>
      <charset val="1"/>
    </font>
    <font>
      <sz val="10"/>
      <color rgb="FF10B981"/>
      <name val="Arial"/>
      <charset val="1"/>
    </font>
    <font>
      <sz val="10"/>
      <color rgb="FFEF4444"/>
      <name val="Arial"/>
      <charset val="1"/>
    </font>
    <font>
      <sz val="10"/>
      <color rgb="FFF59E0B"/>
      <name val="Arial"/>
      <charset val="1"/>
    </font>
    <font>
      <b/>
      <sz val="14"/>
      <color rgb="FFF1F5F9"/>
      <name val="Arial"/>
      <charset val="1"/>
    </font>
    <font>
      <b/>
      <sz val="15"/>
      <color rgb="FF10B981"/>
      <name val="Arial"/>
      <charset val="1"/>
    </font>
    <font>
      <b/>
      <sz val="15"/>
      <color rgb="FFEF4444"/>
      <name val="Arial"/>
      <charset val="1"/>
    </font>
    <font>
      <b/>
      <sz val="15"/>
      <color rgb="FFF59E0B"/>
      <name val="Arial"/>
      <charset val="1"/>
    </font>
    <font>
      <sz val="9"/>
      <color rgb="FF475569"/>
      <name val="Arial"/>
      <charset val="1"/>
    </font>
    <font>
      <b/>
      <sz val="9"/>
      <color rgb="FF94A3B8"/>
      <name val="Arial"/>
      <charset val="1"/>
    </font>
    <font>
      <b/>
      <sz val="10"/>
      <color rgb="FF10B981"/>
      <name val="Arial"/>
      <charset val="1"/>
    </font>
    <font>
      <b/>
      <sz val="11"/>
      <color rgb="FF10B981"/>
      <name val="Arial"/>
      <charset val="1"/>
    </font>
    <font>
      <b/>
      <sz val="11"/>
      <color rgb="FF94A3B8"/>
      <name val="Arial"/>
      <charset val="1"/>
    </font>
    <font>
      <b/>
      <sz val="10"/>
      <color rgb="FFEF4444"/>
      <name val="Arial"/>
      <charset val="1"/>
    </font>
    <font>
      <b/>
      <sz val="11"/>
      <color rgb="FFEF4444"/>
      <name val="Arial"/>
      <charset val="1"/>
    </font>
    <font>
      <b/>
      <sz val="13"/>
      <color rgb="FFF59E0B"/>
      <name val="Arial"/>
      <charset val="1"/>
    </font>
    <font>
      <b/>
      <sz val="16"/>
      <color rgb="FFF1F5F9"/>
      <name val="Arial"/>
      <charset val="1"/>
    </font>
    <font>
      <b/>
      <sz val="12"/>
      <color rgb="FFEF4444"/>
      <name val="Arial"/>
      <charset val="1"/>
    </font>
    <font>
      <sz val="10"/>
      <color rgb="FF475569"/>
      <name val="Arial"/>
      <charset val="1"/>
    </font>
    <font>
      <sz val="10"/>
      <color rgb="FF3B82F6"/>
      <name val="Arial"/>
      <charset val="1"/>
    </font>
    <font>
      <i/>
      <sz val="9"/>
      <color rgb="FFF59E0B"/>
      <name val="Arial"/>
      <charset val="1"/>
    </font>
    <font>
      <b/>
      <sz val="9"/>
      <color rgb="FF0F1117"/>
      <name val="Arial"/>
      <charset val="1"/>
    </font>
    <font>
      <b/>
      <sz val="12"/>
      <color rgb="FF10B981"/>
      <name val="Arial"/>
      <charset val="1"/>
    </font>
    <font>
      <b/>
      <sz val="13"/>
      <color rgb="FFF1F5F9"/>
      <name val="Arial"/>
      <charset val="1"/>
    </font>
    <font>
      <b/>
      <sz val="18"/>
      <color rgb="FF3B82F6"/>
      <name val="Arial"/>
      <charset val="1"/>
    </font>
    <font>
      <b/>
      <sz val="13"/>
      <color rgb="FF10B981"/>
      <name val="Arial"/>
      <charset val="1"/>
    </font>
    <font>
      <b/>
      <sz val="13"/>
      <color rgb="FFEF4444"/>
      <name val="Arial"/>
      <charset val="1"/>
    </font>
    <font>
      <sz val="8"/>
      <color rgb="FF94A3B8"/>
      <name val="Arial"/>
      <charset val="1"/>
    </font>
    <font>
      <b/>
      <sz val="12"/>
      <color rgb="FFF59E0B"/>
      <name val="Arial"/>
      <charset val="1"/>
    </font>
    <font>
      <b/>
      <sz val="10"/>
      <color rgb="FFF59E0B"/>
      <name val="Arial"/>
      <charset val="1"/>
    </font>
    <font>
      <b/>
      <sz val="12"/>
      <color rgb="FF0F1117"/>
      <name val="Arial"/>
      <charset val="1"/>
    </font>
    <font>
      <b/>
      <sz val="22"/>
      <color rgb="FF0F1117"/>
      <name val="Arial"/>
      <charset val="1"/>
    </font>
    <font>
      <i/>
      <sz val="8"/>
      <color rgb="FF0F1117"/>
      <name val="Arial"/>
      <charset val="1"/>
    </font>
    <font>
      <b/>
      <sz val="12"/>
      <color rgb="FFF1F5F9"/>
      <name val="Arial"/>
      <charset val="1"/>
    </font>
    <font>
      <b/>
      <sz val="22"/>
      <color rgb="FFF1F5F9"/>
      <name val="Arial"/>
      <charset val="1"/>
    </font>
    <font>
      <i/>
      <sz val="8"/>
      <color rgb="FFF1F5F9"/>
      <name val="Arial"/>
      <charset val="1"/>
    </font>
    <font>
      <b/>
      <sz val="11"/>
      <color rgb="FF7C3AED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0F1117"/>
        <bgColor rgb="FF1A1D27"/>
      </patternFill>
    </fill>
    <fill>
      <patternFill patternType="solid">
        <fgColor rgb="FF7C3AED"/>
        <bgColor rgb="FF993366"/>
      </patternFill>
    </fill>
    <fill>
      <patternFill patternType="solid">
        <fgColor rgb="FF1A1D27"/>
        <bgColor rgb="FF1E2130"/>
      </patternFill>
    </fill>
    <fill>
      <patternFill patternType="solid">
        <fgColor rgb="FF1E2130"/>
        <bgColor rgb="FF1A1D27"/>
      </patternFill>
    </fill>
    <fill>
      <patternFill patternType="solid">
        <fgColor rgb="FFEF4444"/>
        <bgColor rgb="FFEC4899"/>
      </patternFill>
    </fill>
    <fill>
      <patternFill patternType="solid">
        <fgColor rgb="FF10B981"/>
        <bgColor rgb="FF06B6D4"/>
      </patternFill>
    </fill>
    <fill>
      <patternFill patternType="solid">
        <fgColor rgb="FFF59E0B"/>
        <bgColor rgb="FFFFCC00"/>
      </patternFill>
    </fill>
    <fill>
      <patternFill patternType="solid">
        <fgColor rgb="FF3B82F6"/>
        <bgColor rgb="FF0066CC"/>
      </patternFill>
    </fill>
    <fill>
      <patternFill patternType="solid">
        <fgColor rgb="FFEC4899"/>
        <bgColor rgb="FFEF4444"/>
      </patternFill>
    </fill>
    <fill>
      <patternFill patternType="solid">
        <fgColor rgb="FF06B6D4"/>
        <bgColor rgb="FF10B981"/>
      </patternFill>
    </fill>
  </fills>
  <borders count="2">
    <border>
      <left/>
      <right/>
      <top/>
      <bottom/>
      <diagonal/>
    </border>
    <border>
      <left style="thin">
        <color rgb="FF2D3148"/>
      </left>
      <right style="thin">
        <color rgb="FF2D3148"/>
      </right>
      <top style="thin">
        <color rgb="FF2D3148"/>
      </top>
      <bottom style="thin">
        <color rgb="FF2D3148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6" fillId="2" borderId="0" xfId="0" applyFont="1" applyFill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3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164" fontId="16" fillId="4" borderId="1" xfId="0" applyNumberFormat="1" applyFont="1" applyFill="1" applyBorder="1" applyAlignment="1">
      <alignment horizontal="right" vertical="center"/>
    </xf>
    <xf numFmtId="164" fontId="1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166" fontId="18" fillId="4" borderId="1" xfId="0" applyNumberFormat="1" applyFont="1" applyFill="1" applyBorder="1" applyAlignment="1">
      <alignment horizontal="right" vertical="center"/>
    </xf>
    <xf numFmtId="49" fontId="16" fillId="4" borderId="1" xfId="0" applyNumberFormat="1" applyFont="1" applyFill="1" applyBorder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164" fontId="16" fillId="5" borderId="1" xfId="0" applyNumberFormat="1" applyFont="1" applyFill="1" applyBorder="1" applyAlignment="1">
      <alignment horizontal="right" vertical="center"/>
    </xf>
    <xf numFmtId="164" fontId="17" fillId="5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166" fontId="18" fillId="5" borderId="1" xfId="0" applyNumberFormat="1" applyFont="1" applyFill="1" applyBorder="1" applyAlignment="1">
      <alignment horizontal="right" vertical="center"/>
    </xf>
    <xf numFmtId="49" fontId="16" fillId="5" borderId="1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right" vertical="center"/>
    </xf>
    <xf numFmtId="165" fontId="15" fillId="3" borderId="1" xfId="0" applyNumberFormat="1" applyFont="1" applyFill="1" applyBorder="1" applyAlignment="1">
      <alignment horizontal="right" vertical="center"/>
    </xf>
    <xf numFmtId="166" fontId="15" fillId="3" borderId="1" xfId="0" applyNumberFormat="1" applyFont="1" applyFill="1" applyBorder="1" applyAlignment="1">
      <alignment horizontal="right" vertical="center"/>
    </xf>
    <xf numFmtId="165" fontId="20" fillId="4" borderId="1" xfId="0" applyNumberFormat="1" applyFont="1" applyFill="1" applyBorder="1" applyAlignment="1">
      <alignment horizontal="center" vertical="center"/>
    </xf>
    <xf numFmtId="165" fontId="21" fillId="4" borderId="1" xfId="0" applyNumberFormat="1" applyFont="1" applyFill="1" applyBorder="1" applyAlignment="1">
      <alignment horizontal="center" vertical="center"/>
    </xf>
    <xf numFmtId="165" fontId="22" fillId="4" borderId="1" xfId="0" applyNumberFormat="1" applyFont="1" applyFill="1" applyBorder="1" applyAlignment="1">
      <alignment horizontal="center" vertical="center"/>
    </xf>
    <xf numFmtId="164" fontId="23" fillId="2" borderId="0" xfId="0" applyNumberFormat="1" applyFont="1" applyFill="1" applyAlignment="1">
      <alignment horizontal="left" vertical="center"/>
    </xf>
    <xf numFmtId="0" fontId="24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right" vertical="center"/>
    </xf>
    <xf numFmtId="165" fontId="18" fillId="4" borderId="1" xfId="0" applyNumberFormat="1" applyFont="1" applyFill="1" applyBorder="1" applyAlignment="1">
      <alignment horizontal="right" vertical="center"/>
    </xf>
    <xf numFmtId="0" fontId="7" fillId="5" borderId="0" xfId="0" applyFont="1" applyFill="1" applyAlignment="1">
      <alignment horizontal="left" vertical="center"/>
    </xf>
    <xf numFmtId="0" fontId="7" fillId="5" borderId="1" xfId="0" applyFont="1" applyFill="1" applyBorder="1" applyAlignment="1">
      <alignment horizontal="right" vertical="center"/>
    </xf>
    <xf numFmtId="165" fontId="18" fillId="5" borderId="1" xfId="0" applyNumberFormat="1" applyFont="1" applyFill="1" applyBorder="1" applyAlignment="1">
      <alignment horizontal="right" vertical="center"/>
    </xf>
    <xf numFmtId="0" fontId="25" fillId="4" borderId="0" xfId="0" applyFont="1" applyFill="1" applyAlignment="1">
      <alignment horizontal="left" vertical="center"/>
    </xf>
    <xf numFmtId="164" fontId="26" fillId="4" borderId="1" xfId="0" applyNumberFormat="1" applyFont="1" applyFill="1" applyBorder="1" applyAlignment="1">
      <alignment horizontal="right" vertical="center"/>
    </xf>
    <xf numFmtId="164" fontId="27" fillId="4" borderId="1" xfId="0" applyNumberFormat="1" applyFont="1" applyFill="1" applyBorder="1" applyAlignment="1">
      <alignment horizontal="right" vertical="center"/>
    </xf>
    <xf numFmtId="165" fontId="16" fillId="4" borderId="1" xfId="0" applyNumberFormat="1" applyFont="1" applyFill="1" applyBorder="1" applyAlignment="1">
      <alignment horizontal="right" vertical="center"/>
    </xf>
    <xf numFmtId="165" fontId="16" fillId="5" borderId="1" xfId="0" applyNumberFormat="1" applyFont="1" applyFill="1" applyBorder="1" applyAlignment="1">
      <alignment horizontal="right" vertical="center"/>
    </xf>
    <xf numFmtId="0" fontId="28" fillId="4" borderId="0" xfId="0" applyFont="1" applyFill="1" applyAlignment="1">
      <alignment horizontal="left" vertical="center"/>
    </xf>
    <xf numFmtId="164" fontId="29" fillId="4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165" fontId="30" fillId="2" borderId="1" xfId="0" applyNumberFormat="1" applyFont="1" applyFill="1" applyBorder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164" fontId="17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164" fontId="17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64" fontId="32" fillId="4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left" vertical="center"/>
    </xf>
    <xf numFmtId="10" fontId="18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164" fontId="18" fillId="4" borderId="1" xfId="0" applyNumberFormat="1" applyFont="1" applyFill="1" applyBorder="1" applyAlignment="1">
      <alignment horizontal="right" vertical="center"/>
    </xf>
    <xf numFmtId="167" fontId="4" fillId="4" borderId="1" xfId="0" applyNumberFormat="1" applyFont="1" applyFill="1" applyBorder="1" applyAlignment="1">
      <alignment horizontal="right" vertical="center"/>
    </xf>
    <xf numFmtId="168" fontId="33" fillId="4" borderId="1" xfId="0" applyNumberFormat="1" applyFont="1" applyFill="1" applyBorder="1" applyAlignment="1">
      <alignment horizontal="right" vertical="center"/>
    </xf>
    <xf numFmtId="49" fontId="34" fillId="4" borderId="1" xfId="0" applyNumberFormat="1" applyFont="1" applyFill="1" applyBorder="1" applyAlignment="1">
      <alignment horizontal="right" vertical="center"/>
    </xf>
    <xf numFmtId="1" fontId="18" fillId="4" borderId="1" xfId="0" applyNumberFormat="1" applyFont="1" applyFill="1" applyBorder="1" applyAlignment="1">
      <alignment horizontal="right" vertical="center"/>
    </xf>
    <xf numFmtId="49" fontId="7" fillId="5" borderId="1" xfId="0" applyNumberFormat="1" applyFont="1" applyFill="1" applyBorder="1" applyAlignment="1">
      <alignment horizontal="left" vertical="center"/>
    </xf>
    <xf numFmtId="10" fontId="18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164" fontId="18" fillId="5" borderId="1" xfId="0" applyNumberFormat="1" applyFont="1" applyFill="1" applyBorder="1" applyAlignment="1">
      <alignment horizontal="right" vertical="center"/>
    </xf>
    <xf numFmtId="167" fontId="4" fillId="5" borderId="1" xfId="0" applyNumberFormat="1" applyFont="1" applyFill="1" applyBorder="1" applyAlignment="1">
      <alignment horizontal="right" vertical="center"/>
    </xf>
    <xf numFmtId="168" fontId="33" fillId="5" borderId="1" xfId="0" applyNumberFormat="1" applyFont="1" applyFill="1" applyBorder="1" applyAlignment="1">
      <alignment horizontal="right" vertical="center"/>
    </xf>
    <xf numFmtId="49" fontId="34" fillId="5" borderId="1" xfId="0" applyNumberFormat="1" applyFont="1" applyFill="1" applyBorder="1" applyAlignment="1">
      <alignment horizontal="right" vertical="center"/>
    </xf>
    <xf numFmtId="1" fontId="18" fillId="5" borderId="1" xfId="0" applyNumberFormat="1" applyFont="1" applyFill="1" applyBorder="1" applyAlignment="1">
      <alignment horizontal="right" vertical="center"/>
    </xf>
    <xf numFmtId="0" fontId="36" fillId="7" borderId="1" xfId="0" applyFont="1" applyFill="1" applyBorder="1" applyAlignment="1">
      <alignment horizontal="center" vertical="center"/>
    </xf>
    <xf numFmtId="167" fontId="33" fillId="4" borderId="1" xfId="0" applyNumberFormat="1" applyFont="1" applyFill="1" applyBorder="1" applyAlignment="1">
      <alignment horizontal="right" vertical="center"/>
    </xf>
    <xf numFmtId="9" fontId="16" fillId="4" borderId="1" xfId="0" applyNumberFormat="1" applyFont="1" applyFill="1" applyBorder="1" applyAlignment="1">
      <alignment horizontal="right" vertical="center"/>
    </xf>
    <xf numFmtId="49" fontId="18" fillId="4" borderId="1" xfId="0" applyNumberFormat="1" applyFont="1" applyFill="1" applyBorder="1" applyAlignment="1">
      <alignment horizontal="right" vertical="center"/>
    </xf>
    <xf numFmtId="167" fontId="33" fillId="5" borderId="1" xfId="0" applyNumberFormat="1" applyFont="1" applyFill="1" applyBorder="1" applyAlignment="1">
      <alignment horizontal="right" vertical="center"/>
    </xf>
    <xf numFmtId="9" fontId="16" fillId="5" borderId="1" xfId="0" applyNumberFormat="1" applyFont="1" applyFill="1" applyBorder="1" applyAlignment="1">
      <alignment horizontal="right" vertical="center"/>
    </xf>
    <xf numFmtId="49" fontId="18" fillId="5" borderId="1" xfId="0" applyNumberFormat="1" applyFont="1" applyFill="1" applyBorder="1" applyAlignment="1">
      <alignment horizontal="right" vertical="center"/>
    </xf>
    <xf numFmtId="165" fontId="10" fillId="4" borderId="1" xfId="0" applyNumberFormat="1" applyFont="1" applyFill="1" applyBorder="1" applyAlignment="1">
      <alignment horizontal="center" vertical="center"/>
    </xf>
    <xf numFmtId="165" fontId="11" fillId="4" borderId="1" xfId="0" applyNumberFormat="1" applyFont="1" applyFill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3" fillId="5" borderId="1" xfId="0" applyFont="1" applyFill="1" applyBorder="1" applyAlignment="1">
      <alignment horizontal="left" vertical="center"/>
    </xf>
    <xf numFmtId="164" fontId="37" fillId="4" borderId="1" xfId="0" applyNumberFormat="1" applyFont="1" applyFill="1" applyBorder="1" applyAlignment="1">
      <alignment horizontal="right" vertical="center"/>
    </xf>
    <xf numFmtId="164" fontId="32" fillId="4" borderId="1" xfId="0" applyNumberFormat="1" applyFont="1" applyFill="1" applyBorder="1" applyAlignment="1">
      <alignment horizontal="right" vertical="center"/>
    </xf>
    <xf numFmtId="0" fontId="38" fillId="2" borderId="0" xfId="0" applyFont="1" applyFill="1" applyAlignment="1">
      <alignment horizontal="left" vertical="center"/>
    </xf>
    <xf numFmtId="165" fontId="39" fillId="2" borderId="1" xfId="0" applyNumberFormat="1" applyFont="1" applyFill="1" applyBorder="1" applyAlignment="1">
      <alignment horizontal="right" vertical="center"/>
    </xf>
    <xf numFmtId="0" fontId="4" fillId="4" borderId="0" xfId="0" applyFont="1" applyFill="1" applyAlignment="1">
      <alignment horizontal="left" vertical="center"/>
    </xf>
    <xf numFmtId="164" fontId="40" fillId="5" borderId="1" xfId="0" applyNumberFormat="1" applyFont="1" applyFill="1" applyBorder="1" applyAlignment="1">
      <alignment horizontal="right" vertical="center"/>
    </xf>
    <xf numFmtId="0" fontId="42" fillId="4" borderId="1" xfId="0" applyFont="1" applyFill="1" applyBorder="1" applyAlignment="1">
      <alignment horizontal="center" vertical="center"/>
    </xf>
    <xf numFmtId="164" fontId="41" fillId="5" borderId="1" xfId="0" applyNumberFormat="1" applyFont="1" applyFill="1" applyBorder="1" applyAlignment="1">
      <alignment horizontal="right" vertical="center"/>
    </xf>
    <xf numFmtId="164" fontId="38" fillId="5" borderId="1" xfId="0" applyNumberFormat="1" applyFont="1" applyFill="1" applyBorder="1" applyAlignment="1">
      <alignment horizontal="right" vertical="center"/>
    </xf>
    <xf numFmtId="165" fontId="38" fillId="5" borderId="1" xfId="0" applyNumberFormat="1" applyFont="1" applyFill="1" applyBorder="1" applyAlignment="1">
      <alignment horizontal="right" vertical="center"/>
    </xf>
    <xf numFmtId="164" fontId="30" fillId="5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43" fillId="5" borderId="1" xfId="0" applyFont="1" applyFill="1" applyBorder="1" applyAlignment="1">
      <alignment horizontal="left" vertical="center"/>
    </xf>
    <xf numFmtId="9" fontId="4" fillId="4" borderId="1" xfId="0" applyNumberFormat="1" applyFont="1" applyFill="1" applyBorder="1" applyAlignment="1">
      <alignment horizontal="right" vertical="center"/>
    </xf>
    <xf numFmtId="9" fontId="4" fillId="5" borderId="1" xfId="0" applyNumberFormat="1" applyFont="1" applyFill="1" applyBorder="1" applyAlignment="1">
      <alignment horizontal="right" vertical="center"/>
    </xf>
    <xf numFmtId="49" fontId="25" fillId="4" borderId="1" xfId="0" applyNumberFormat="1" applyFont="1" applyFill="1" applyBorder="1" applyAlignment="1">
      <alignment horizontal="left" vertical="center"/>
    </xf>
    <xf numFmtId="164" fontId="25" fillId="4" borderId="1" xfId="0" applyNumberFormat="1" applyFont="1" applyFill="1" applyBorder="1" applyAlignment="1">
      <alignment horizontal="right" vertical="center"/>
    </xf>
    <xf numFmtId="9" fontId="25" fillId="4" borderId="1" xfId="0" applyNumberFormat="1" applyFont="1" applyFill="1" applyBorder="1" applyAlignment="1">
      <alignment horizontal="right" vertical="center"/>
    </xf>
    <xf numFmtId="9" fontId="18" fillId="4" borderId="1" xfId="0" applyNumberFormat="1" applyFont="1" applyFill="1" applyBorder="1" applyAlignment="1">
      <alignment horizontal="right" vertical="center"/>
    </xf>
    <xf numFmtId="164" fontId="34" fillId="4" borderId="1" xfId="0" applyNumberFormat="1" applyFont="1" applyFill="1" applyBorder="1" applyAlignment="1">
      <alignment horizontal="right" vertical="center"/>
    </xf>
    <xf numFmtId="0" fontId="0" fillId="4" borderId="0" xfId="0" applyFill="1"/>
    <xf numFmtId="9" fontId="18" fillId="5" borderId="1" xfId="0" applyNumberFormat="1" applyFont="1" applyFill="1" applyBorder="1" applyAlignment="1">
      <alignment horizontal="right" vertical="center"/>
    </xf>
    <xf numFmtId="164" fontId="34" fillId="5" borderId="1" xfId="0" applyNumberFormat="1" applyFont="1" applyFill="1" applyBorder="1" applyAlignment="1">
      <alignment horizontal="right" vertical="center"/>
    </xf>
    <xf numFmtId="0" fontId="0" fillId="5" borderId="0" xfId="0" applyFill="1"/>
    <xf numFmtId="49" fontId="44" fillId="4" borderId="1" xfId="0" applyNumberFormat="1" applyFont="1" applyFill="1" applyBorder="1" applyAlignment="1">
      <alignment horizontal="left" vertical="center"/>
    </xf>
    <xf numFmtId="164" fontId="44" fillId="4" borderId="1" xfId="0" applyNumberFormat="1" applyFont="1" applyFill="1" applyBorder="1" applyAlignment="1">
      <alignment horizontal="right" vertical="center"/>
    </xf>
    <xf numFmtId="49" fontId="44" fillId="4" borderId="1" xfId="0" applyNumberFormat="1" applyFont="1" applyFill="1" applyBorder="1" applyAlignment="1">
      <alignment horizontal="right" vertical="center"/>
    </xf>
    <xf numFmtId="0" fontId="0" fillId="6" borderId="0" xfId="0" applyFill="1"/>
    <xf numFmtId="0" fontId="45" fillId="6" borderId="0" xfId="0" applyFont="1" applyFill="1" applyAlignment="1">
      <alignment horizontal="left" vertical="center"/>
    </xf>
    <xf numFmtId="164" fontId="46" fillId="6" borderId="0" xfId="0" applyNumberFormat="1" applyFont="1" applyFill="1" applyAlignment="1">
      <alignment horizontal="left" vertical="center"/>
    </xf>
    <xf numFmtId="0" fontId="47" fillId="6" borderId="0" xfId="0" applyFont="1" applyFill="1" applyAlignment="1">
      <alignment horizontal="left" vertical="center"/>
    </xf>
    <xf numFmtId="0" fontId="0" fillId="8" borderId="0" xfId="0" applyFill="1"/>
    <xf numFmtId="0" fontId="45" fillId="8" borderId="0" xfId="0" applyFont="1" applyFill="1" applyAlignment="1">
      <alignment horizontal="left" vertical="center"/>
    </xf>
    <xf numFmtId="164" fontId="46" fillId="8" borderId="0" xfId="0" applyNumberFormat="1" applyFont="1" applyFill="1" applyAlignment="1">
      <alignment horizontal="left" vertical="center"/>
    </xf>
    <xf numFmtId="0" fontId="47" fillId="8" borderId="0" xfId="0" applyFont="1" applyFill="1" applyAlignment="1">
      <alignment horizontal="left" vertical="center"/>
    </xf>
    <xf numFmtId="0" fontId="0" fillId="7" borderId="0" xfId="0" applyFill="1"/>
    <xf numFmtId="0" fontId="45" fillId="7" borderId="0" xfId="0" applyFont="1" applyFill="1" applyAlignment="1">
      <alignment horizontal="left" vertical="center"/>
    </xf>
    <xf numFmtId="164" fontId="46" fillId="7" borderId="0" xfId="0" applyNumberFormat="1" applyFont="1" applyFill="1" applyAlignment="1">
      <alignment horizontal="left" vertical="center"/>
    </xf>
    <xf numFmtId="0" fontId="47" fillId="7" borderId="0" xfId="0" applyFont="1" applyFill="1" applyAlignment="1">
      <alignment horizontal="left" vertical="center"/>
    </xf>
    <xf numFmtId="0" fontId="0" fillId="9" borderId="0" xfId="0" applyFill="1"/>
    <xf numFmtId="0" fontId="48" fillId="9" borderId="0" xfId="0" applyFont="1" applyFill="1" applyAlignment="1">
      <alignment horizontal="left" vertical="center"/>
    </xf>
    <xf numFmtId="164" fontId="49" fillId="9" borderId="0" xfId="0" applyNumberFormat="1" applyFont="1" applyFill="1" applyAlignment="1">
      <alignment horizontal="left" vertical="center"/>
    </xf>
    <xf numFmtId="0" fontId="50" fillId="9" borderId="0" xfId="0" applyFont="1" applyFill="1" applyAlignment="1">
      <alignment horizontal="left" vertical="center"/>
    </xf>
    <xf numFmtId="0" fontId="0" fillId="10" borderId="0" xfId="0" applyFill="1"/>
    <xf numFmtId="0" fontId="48" fillId="10" borderId="0" xfId="0" applyFont="1" applyFill="1" applyAlignment="1">
      <alignment horizontal="left" vertical="center"/>
    </xf>
    <xf numFmtId="164" fontId="49" fillId="10" borderId="0" xfId="0" applyNumberFormat="1" applyFont="1" applyFill="1" applyAlignment="1">
      <alignment horizontal="left" vertical="center"/>
    </xf>
    <xf numFmtId="0" fontId="50" fillId="10" borderId="0" xfId="0" applyFont="1" applyFill="1" applyAlignment="1">
      <alignment horizontal="left" vertical="center"/>
    </xf>
    <xf numFmtId="0" fontId="0" fillId="11" borderId="0" xfId="0" applyFill="1"/>
    <xf numFmtId="0" fontId="45" fillId="11" borderId="0" xfId="0" applyFont="1" applyFill="1" applyAlignment="1">
      <alignment horizontal="left" vertical="center"/>
    </xf>
    <xf numFmtId="164" fontId="46" fillId="11" borderId="0" xfId="0" applyNumberFormat="1" applyFont="1" applyFill="1" applyAlignment="1">
      <alignment horizontal="left" vertical="center"/>
    </xf>
    <xf numFmtId="0" fontId="47" fillId="11" borderId="0" xfId="0" applyFont="1" applyFill="1" applyAlignment="1">
      <alignment horizontal="left" vertical="center"/>
    </xf>
    <xf numFmtId="0" fontId="48" fillId="3" borderId="0" xfId="0" applyFont="1" applyFill="1" applyAlignment="1">
      <alignment horizontal="left" vertical="center"/>
    </xf>
    <xf numFmtId="164" fontId="49" fillId="3" borderId="0" xfId="0" applyNumberFormat="1" applyFont="1" applyFill="1" applyAlignment="1">
      <alignment horizontal="left" vertical="center"/>
    </xf>
    <xf numFmtId="0" fontId="50" fillId="3" borderId="0" xfId="0" applyFont="1" applyFill="1" applyAlignment="1">
      <alignment horizontal="left" vertical="center"/>
    </xf>
    <xf numFmtId="169" fontId="17" fillId="4" borderId="1" xfId="0" applyNumberFormat="1" applyFont="1" applyFill="1" applyBorder="1" applyAlignment="1">
      <alignment horizontal="right" vertical="center"/>
    </xf>
    <xf numFmtId="169" fontId="18" fillId="4" borderId="1" xfId="0" applyNumberFormat="1" applyFont="1" applyFill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16" fillId="4" borderId="1" xfId="0" applyNumberFormat="1" applyFont="1" applyFill="1" applyBorder="1" applyAlignment="1">
      <alignment horizontal="left" vertical="center"/>
    </xf>
    <xf numFmtId="49" fontId="33" fillId="4" borderId="1" xfId="0" applyNumberFormat="1" applyFont="1" applyFill="1" applyBorder="1" applyAlignment="1">
      <alignment horizontal="left" vertical="center"/>
    </xf>
    <xf numFmtId="169" fontId="17" fillId="5" borderId="1" xfId="0" applyNumberFormat="1" applyFont="1" applyFill="1" applyBorder="1" applyAlignment="1">
      <alignment horizontal="right" vertical="center"/>
    </xf>
    <xf numFmtId="169" fontId="18" fillId="5" borderId="1" xfId="0" applyNumberFormat="1" applyFont="1" applyFill="1" applyBorder="1" applyAlignment="1">
      <alignment horizontal="righ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16" fillId="5" borderId="1" xfId="0" applyNumberFormat="1" applyFont="1" applyFill="1" applyBorder="1" applyAlignment="1">
      <alignment horizontal="left" vertical="center"/>
    </xf>
    <xf numFmtId="49" fontId="33" fillId="5" borderId="1" xfId="0" applyNumberFormat="1" applyFont="1" applyFill="1" applyBorder="1" applyAlignment="1">
      <alignment horizontal="left" vertical="center"/>
    </xf>
    <xf numFmtId="169" fontId="32" fillId="4" borderId="1" xfId="0" applyNumberFormat="1" applyFont="1" applyFill="1" applyBorder="1" applyAlignment="1">
      <alignment horizontal="right" vertical="center"/>
    </xf>
    <xf numFmtId="49" fontId="18" fillId="4" borderId="1" xfId="0" applyNumberFormat="1" applyFont="1" applyFill="1" applyBorder="1" applyAlignment="1">
      <alignment horizontal="center" vertical="center"/>
    </xf>
    <xf numFmtId="49" fontId="18" fillId="5" borderId="1" xfId="0" applyNumberFormat="1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/>
    </xf>
    <xf numFmtId="0" fontId="44" fillId="4" borderId="0" xfId="0" applyFont="1" applyFill="1" applyAlignment="1">
      <alignment horizontal="center" vertical="center"/>
    </xf>
    <xf numFmtId="168" fontId="0" fillId="4" borderId="0" xfId="0" applyNumberFormat="1" applyFill="1"/>
    <xf numFmtId="164" fontId="0" fillId="4" borderId="0" xfId="0" applyNumberFormat="1" applyFill="1"/>
    <xf numFmtId="0" fontId="44" fillId="5" borderId="0" xfId="0" applyFont="1" applyFill="1" applyAlignment="1">
      <alignment horizontal="center" vertical="center"/>
    </xf>
    <xf numFmtId="168" fontId="0" fillId="5" borderId="0" xfId="0" applyNumberFormat="1" applyFill="1"/>
    <xf numFmtId="164" fontId="0" fillId="5" borderId="0" xfId="0" applyNumberFormat="1" applyFill="1"/>
    <xf numFmtId="0" fontId="40" fillId="4" borderId="1" xfId="0" applyFont="1" applyFill="1" applyBorder="1" applyAlignment="1">
      <alignment horizontal="center" vertical="center"/>
    </xf>
    <xf numFmtId="164" fontId="30" fillId="4" borderId="1" xfId="0" applyNumberFormat="1" applyFont="1" applyFill="1" applyBorder="1" applyAlignment="1">
      <alignment horizontal="center" vertical="center"/>
    </xf>
    <xf numFmtId="0" fontId="51" fillId="4" borderId="1" xfId="0" applyFont="1" applyFill="1" applyBorder="1" applyAlignment="1">
      <alignment horizontal="left" vertical="center"/>
    </xf>
    <xf numFmtId="9" fontId="5" fillId="5" borderId="1" xfId="0" applyNumberFormat="1" applyFont="1" applyFill="1" applyBorder="1" applyAlignment="1">
      <alignment horizontal="left" vertical="center"/>
    </xf>
    <xf numFmtId="0" fontId="3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4" fontId="13" fillId="4" borderId="1" xfId="0" applyNumberFormat="1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40" fillId="4" borderId="1" xfId="0" applyFont="1" applyFill="1" applyBorder="1" applyAlignment="1">
      <alignment horizontal="left" vertical="center"/>
    </xf>
    <xf numFmtId="0" fontId="41" fillId="4" borderId="1" xfId="0" applyFont="1" applyFill="1" applyBorder="1" applyAlignment="1">
      <alignment horizontal="left" vertical="center"/>
    </xf>
    <xf numFmtId="0" fontId="30" fillId="4" borderId="1" xfId="0" applyFont="1" applyFill="1" applyBorder="1" applyAlignment="1">
      <alignment horizontal="left" vertical="center"/>
    </xf>
    <xf numFmtId="0" fontId="25" fillId="4" borderId="0" xfId="0" applyFont="1" applyFill="1"/>
    <xf numFmtId="0" fontId="4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1F5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FFFCC"/>
      <rgbColor rgb="FFCCFFFF"/>
      <rgbColor rgb="FF660066"/>
      <rgbColor rgb="FFEC489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59E0B"/>
      <rgbColor rgb="FFEF4444"/>
      <rgbColor rgb="FF475569"/>
      <rgbColor rgb="FF94A3B8"/>
      <rgbColor rgb="FF0F1117"/>
      <rgbColor rgb="FF10B981"/>
      <rgbColor rgb="FF1A1D27"/>
      <rgbColor rgb="FF1E2130"/>
      <rgbColor rgb="FF993300"/>
      <rgbColor rgb="FF993366"/>
      <rgbColor rgb="FF333399"/>
      <rgbColor rgb="FF2D31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Income vs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Annual Dashboard'!$B$7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4FC3F7"/>
            </a:solidFill>
            <a:ln>
              <a:noFill/>
            </a:ln>
            <a:effectLst/>
          </c:spPr>
          <c:invertIfNegative val="0"/>
          <c:cat>
            <c:strRef>
              <c:f>'📊 Annual Dashboard'!$A$8:$A$19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Annual Dashboard'!$B$8:$B$19</c:f>
              <c:numCache>
                <c:formatCode>\$#,##0</c:formatCode>
                <c:ptCount val="12"/>
                <c:pt idx="0">
                  <c:v>5050</c:v>
                </c:pt>
                <c:pt idx="1">
                  <c:v>5050</c:v>
                </c:pt>
                <c:pt idx="2">
                  <c:v>5050</c:v>
                </c:pt>
                <c:pt idx="3">
                  <c:v>5580</c:v>
                </c:pt>
                <c:pt idx="4">
                  <c:v>5580</c:v>
                </c:pt>
                <c:pt idx="5">
                  <c:v>5080</c:v>
                </c:pt>
                <c:pt idx="6">
                  <c:v>5880</c:v>
                </c:pt>
                <c:pt idx="7">
                  <c:v>5080</c:v>
                </c:pt>
                <c:pt idx="8">
                  <c:v>5080</c:v>
                </c:pt>
                <c:pt idx="9">
                  <c:v>5380</c:v>
                </c:pt>
                <c:pt idx="10">
                  <c:v>5080</c:v>
                </c:pt>
                <c:pt idx="11">
                  <c:v>5080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3-4313-B575-E1B944AFBC43}"/>
            </c:ext>
          </c:extLst>
        </c:ser>
        <c:ser>
          <c:idx val="1"/>
          <c:order val="1"/>
          <c:tx>
            <c:strRef>
              <c:f>'📊 Annual Dashboard'!$C$7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EF5350"/>
            </a:solidFill>
            <a:ln>
              <a:noFill/>
            </a:ln>
            <a:effectLst/>
          </c:spPr>
          <c:invertIfNegative val="0"/>
          <c:cat>
            <c:strRef>
              <c:f>'📊 Annual Dashboard'!$A$8:$A$19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Annual Dashboard'!$C$8:$C$19</c:f>
              <c:numCache>
                <c:formatCode>\$#,##0</c:formatCode>
                <c:ptCount val="12"/>
                <c:pt idx="0">
                  <c:v>3395</c:v>
                </c:pt>
                <c:pt idx="1">
                  <c:v>3330</c:v>
                </c:pt>
                <c:pt idx="2">
                  <c:v>3560</c:v>
                </c:pt>
                <c:pt idx="3">
                  <c:v>3685</c:v>
                </c:pt>
                <c:pt idx="4">
                  <c:v>3790</c:v>
                </c:pt>
                <c:pt idx="5">
                  <c:v>4375</c:v>
                </c:pt>
                <c:pt idx="6">
                  <c:v>3430</c:v>
                </c:pt>
                <c:pt idx="7">
                  <c:v>3980</c:v>
                </c:pt>
                <c:pt idx="8">
                  <c:v>3520</c:v>
                </c:pt>
                <c:pt idx="9">
                  <c:v>3560</c:v>
                </c:pt>
                <c:pt idx="10">
                  <c:v>4135</c:v>
                </c:pt>
                <c:pt idx="11">
                  <c:v>4835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3-4313-B575-E1B944AFB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567663"/>
        <c:axId val="559558543"/>
      </c:barChart>
      <c:catAx>
        <c:axId val="55956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58543"/>
        <c:crosses val="autoZero"/>
        <c:auto val="1"/>
        <c:lblAlgn val="ctr"/>
        <c:lblOffset val="100"/>
        <c:noMultiLvlLbl val="0"/>
      </c:catAx>
      <c:valAx>
        <c:axId val="55955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6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Net Savings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'📊 Annual Dashboard'!$D$7</c:f>
              <c:strCache>
                <c:ptCount val="1"/>
                <c:pt idx="0">
                  <c:v>Net</c:v>
                </c:pt>
              </c:strCache>
            </c:strRef>
          </c:tx>
          <c:spPr>
            <a:solidFill>
              <a:srgbClr val="66BB6A"/>
            </a:solidFill>
            <a:ln>
              <a:noFill/>
            </a:ln>
            <a:effectLst/>
          </c:spPr>
          <c:invertIfNegative val="0"/>
          <c:cat>
            <c:strRef>
              <c:f>'📊 Annual Dashboard'!$A$8:$A$19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Annual Dashboard'!$D$8:$D$19</c:f>
              <c:numCache>
                <c:formatCode>\$#,##0;"($"#,##0\);\-</c:formatCode>
                <c:ptCount val="12"/>
                <c:pt idx="0">
                  <c:v>1655</c:v>
                </c:pt>
                <c:pt idx="1">
                  <c:v>1720</c:v>
                </c:pt>
                <c:pt idx="2">
                  <c:v>1490</c:v>
                </c:pt>
                <c:pt idx="3">
                  <c:v>1895</c:v>
                </c:pt>
                <c:pt idx="4">
                  <c:v>1790</c:v>
                </c:pt>
                <c:pt idx="5">
                  <c:v>705</c:v>
                </c:pt>
                <c:pt idx="6">
                  <c:v>2450</c:v>
                </c:pt>
                <c:pt idx="7">
                  <c:v>1100</c:v>
                </c:pt>
                <c:pt idx="8">
                  <c:v>1560</c:v>
                </c:pt>
                <c:pt idx="9">
                  <c:v>1820</c:v>
                </c:pt>
                <c:pt idx="10">
                  <c:v>945</c:v>
                </c:pt>
                <c:pt idx="11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7A-4A89-9654-BED8944CB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563343"/>
        <c:axId val="559568623"/>
      </c:barChart>
      <c:catAx>
        <c:axId val="55956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68623"/>
        <c:crosses val="autoZero"/>
        <c:auto val="1"/>
        <c:lblAlgn val="ctr"/>
        <c:lblOffset val="100"/>
        <c:noMultiLvlLbl val="0"/>
      </c:catAx>
      <c:valAx>
        <c:axId val="55956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&quot;(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6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Expense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Annual Dashboard'!$P$2</c:f>
              <c:strCache>
                <c:ptCount val="1"/>
                <c:pt idx="0">
                  <c:v>Annual Total</c:v>
                </c:pt>
              </c:strCache>
            </c:strRef>
          </c:tx>
          <c:spPr>
            <a:solidFill>
              <a:srgbClr val="FFA726"/>
            </a:solidFill>
            <a:ln>
              <a:noFill/>
            </a:ln>
            <a:effectLst/>
          </c:spPr>
          <c:invertIfNegative val="0"/>
          <c:cat>
            <c:strRef>
              <c:f>'📊 Annual Dashboard'!$O$3:$O$17</c:f>
              <c:strCache>
                <c:ptCount val="15"/>
                <c:pt idx="0">
                  <c:v>Housing</c:v>
                </c:pt>
                <c:pt idx="1">
                  <c:v>Transportation</c:v>
                </c:pt>
                <c:pt idx="2">
                  <c:v>Food &amp; Groceries</c:v>
                </c:pt>
                <c:pt idx="3">
                  <c:v>Utilities</c:v>
                </c:pt>
                <c:pt idx="4">
                  <c:v>Insurance</c:v>
                </c:pt>
                <c:pt idx="5">
                  <c:v>Healthcare</c:v>
                </c:pt>
                <c:pt idx="6">
                  <c:v>Entertainment</c:v>
                </c:pt>
                <c:pt idx="7">
                  <c:v>Clothing</c:v>
                </c:pt>
                <c:pt idx="8">
                  <c:v>Personal Care</c:v>
                </c:pt>
                <c:pt idx="9">
                  <c:v>Education</c:v>
                </c:pt>
                <c:pt idx="10">
                  <c:v>Subscriptions</c:v>
                </c:pt>
                <c:pt idx="11">
                  <c:v>Pets</c:v>
                </c:pt>
                <c:pt idx="12">
                  <c:v>Gifts &amp; Donations</c:v>
                </c:pt>
                <c:pt idx="13">
                  <c:v>Travel</c:v>
                </c:pt>
                <c:pt idx="14">
                  <c:v>Miscellaneous</c:v>
                </c:pt>
              </c:strCache>
            </c:strRef>
          </c:cat>
          <c:val>
            <c:numRef>
              <c:f>'📊 Annual Dashboard'!$P$3:$P$17</c:f>
              <c:numCache>
                <c:formatCode>General</c:formatCode>
                <c:ptCount val="15"/>
                <c:pt idx="0">
                  <c:v>18000</c:v>
                </c:pt>
                <c:pt idx="1">
                  <c:v>4250</c:v>
                </c:pt>
                <c:pt idx="2">
                  <c:v>7780</c:v>
                </c:pt>
                <c:pt idx="3">
                  <c:v>2000</c:v>
                </c:pt>
                <c:pt idx="4">
                  <c:v>3000</c:v>
                </c:pt>
                <c:pt idx="5">
                  <c:v>730</c:v>
                </c:pt>
                <c:pt idx="6">
                  <c:v>1800</c:v>
                </c:pt>
                <c:pt idx="7">
                  <c:v>1830</c:v>
                </c:pt>
                <c:pt idx="8">
                  <c:v>785</c:v>
                </c:pt>
                <c:pt idx="9">
                  <c:v>300</c:v>
                </c:pt>
                <c:pt idx="10">
                  <c:v>900</c:v>
                </c:pt>
                <c:pt idx="11">
                  <c:v>0</c:v>
                </c:pt>
                <c:pt idx="12">
                  <c:v>1320</c:v>
                </c:pt>
                <c:pt idx="13">
                  <c:v>1750</c:v>
                </c:pt>
                <c:pt idx="14">
                  <c:v>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A-4C30-97D9-68C0B8784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7196239"/>
        <c:axId val="387204399"/>
      </c:barChart>
      <c:catAx>
        <c:axId val="387196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04399"/>
        <c:crosses val="autoZero"/>
        <c:auto val="1"/>
        <c:lblAlgn val="ctr"/>
        <c:lblOffset val="100"/>
        <c:noMultiLvlLbl val="0"/>
      </c:catAx>
      <c:valAx>
        <c:axId val="38720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9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877591-25F0-CCC1-7E72-447ACF74F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45A1EEB-D318-B90F-7A43-D06956530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14</xdr:col>
      <xdr:colOff>0</xdr:colOff>
      <xdr:row>58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A10F3D-0F93-CC82-E27C-8235AC762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56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4DA17C-C195-4F7E-804D-DDEC04134D9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2e6f03a-7d8a-4087-8ff0-15b7c739fa9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C3AED"/>
  </sheetPr>
  <dimension ref="A1:S59"/>
  <sheetViews>
    <sheetView zoomScaleNormal="100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baseColWidth="10" defaultColWidth="8.6328125" defaultRowHeight="14.5" x14ac:dyDescent="0.35"/>
  <cols>
    <col min="1" max="1" width="30" customWidth="1"/>
    <col min="2" max="2" width="25" customWidth="1"/>
    <col min="3" max="3" width="40" customWidth="1"/>
  </cols>
  <sheetData>
    <row r="1" spans="1:19" ht="36" customHeight="1" x14ac:dyDescent="0.35">
      <c r="A1" s="171" t="s">
        <v>0</v>
      </c>
      <c r="B1" s="171"/>
      <c r="C1" s="17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5" customHeight="1" x14ac:dyDescent="0.35">
      <c r="A2" s="172" t="s">
        <v>1</v>
      </c>
      <c r="B2" s="172"/>
      <c r="C2" s="17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3" customHeight="1" x14ac:dyDescent="0.35">
      <c r="A3" s="4"/>
      <c r="B3" s="4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24" customHeight="1" x14ac:dyDescent="0.3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" customHeight="1" x14ac:dyDescent="0.35">
      <c r="A6" s="6" t="s">
        <v>3</v>
      </c>
      <c r="B6" s="7" t="s">
        <v>278</v>
      </c>
      <c r="C6" s="1" t="s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" customHeight="1" x14ac:dyDescent="0.35">
      <c r="A7" s="6" t="s">
        <v>5</v>
      </c>
      <c r="B7" s="7">
        <v>5000</v>
      </c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5" customHeight="1" x14ac:dyDescent="0.35">
      <c r="A8" s="6" t="s">
        <v>6</v>
      </c>
      <c r="B8" s="169">
        <v>0.2</v>
      </c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5" customHeight="1" x14ac:dyDescent="0.35">
      <c r="A9" s="6" t="s">
        <v>7</v>
      </c>
      <c r="B9" s="7" t="s">
        <v>8</v>
      </c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5" customHeight="1" x14ac:dyDescent="0.35">
      <c r="A10" s="6" t="s">
        <v>9</v>
      </c>
      <c r="B10" s="7">
        <v>2026</v>
      </c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5" customHeight="1" x14ac:dyDescent="0.35">
      <c r="A11" s="6" t="s">
        <v>10</v>
      </c>
      <c r="B11" s="7" t="s">
        <v>11</v>
      </c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5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5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24" customHeight="1" x14ac:dyDescent="0.35">
      <c r="A14" s="5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5" customHeight="1" x14ac:dyDescent="0.35">
      <c r="A15" s="8" t="s">
        <v>13</v>
      </c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5" customHeight="1" x14ac:dyDescent="0.35">
      <c r="A16" s="10" t="s">
        <v>15</v>
      </c>
      <c r="B16" s="1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5" customHeight="1" x14ac:dyDescent="0.35">
      <c r="A17" s="8" t="s">
        <v>16</v>
      </c>
      <c r="B17" s="9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5" customHeight="1" x14ac:dyDescent="0.35">
      <c r="A18" s="10" t="s">
        <v>17</v>
      </c>
      <c r="B18" s="11" t="s">
        <v>14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5" customHeight="1" x14ac:dyDescent="0.35">
      <c r="A19" s="8" t="s">
        <v>18</v>
      </c>
      <c r="B19" s="9" t="s">
        <v>14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5" customHeight="1" x14ac:dyDescent="0.35">
      <c r="A20" s="10" t="s">
        <v>19</v>
      </c>
      <c r="B20" s="11" t="s">
        <v>14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5" customHeight="1" x14ac:dyDescent="0.35">
      <c r="A21" s="8" t="s">
        <v>20</v>
      </c>
      <c r="B21" s="9" t="s">
        <v>14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5" customHeight="1" x14ac:dyDescent="0.35">
      <c r="A22" s="10" t="s">
        <v>21</v>
      </c>
      <c r="B22" s="11" t="s">
        <v>14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5" customHeight="1" x14ac:dyDescent="0.35">
      <c r="A23" s="8" t="s">
        <v>22</v>
      </c>
      <c r="B23" s="9" t="s">
        <v>14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5" customHeight="1" x14ac:dyDescent="0.35">
      <c r="A24" s="10" t="s">
        <v>23</v>
      </c>
      <c r="B24" s="11" t="s">
        <v>14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5" customHeight="1" x14ac:dyDescent="0.35">
      <c r="A25" s="8" t="s">
        <v>24</v>
      </c>
      <c r="B25" s="9" t="s">
        <v>14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5" customHeight="1" x14ac:dyDescent="0.35">
      <c r="A26" s="10" t="s">
        <v>25</v>
      </c>
      <c r="B26" s="11" t="s">
        <v>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5" customHeight="1" x14ac:dyDescent="0.35">
      <c r="A27" s="8" t="s">
        <v>26</v>
      </c>
      <c r="B27" s="9" t="s">
        <v>14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5" customHeight="1" x14ac:dyDescent="0.35">
      <c r="A28" s="10" t="s">
        <v>27</v>
      </c>
      <c r="B28" s="11" t="s">
        <v>14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5" customHeight="1" x14ac:dyDescent="0.35">
      <c r="A29" s="8" t="s">
        <v>28</v>
      </c>
      <c r="B29" s="9" t="s">
        <v>14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0B981"/>
  </sheetPr>
  <dimension ref="A1:S79"/>
  <sheetViews>
    <sheetView tabSelected="1" zoomScaleNormal="100" workbookViewId="0">
      <pane ySplit="4" topLeftCell="A5" activePane="bottomLeft" state="frozen"/>
      <selection pane="bottomLeft" activeCell="B4" sqref="B4:C4"/>
    </sheetView>
  </sheetViews>
  <sheetFormatPr baseColWidth="10" defaultColWidth="8.6328125" defaultRowHeight="14.5" x14ac:dyDescent="0.35"/>
  <cols>
    <col min="1" max="1" width="22" customWidth="1"/>
    <col min="2" max="14" width="10" customWidth="1"/>
  </cols>
  <sheetData>
    <row r="1" spans="1:19" ht="31.5" customHeight="1" x14ac:dyDescent="0.35">
      <c r="A1" s="178" t="s">
        <v>29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3"/>
      <c r="P1" s="3"/>
      <c r="Q1" s="3"/>
      <c r="R1" s="3"/>
      <c r="S1" s="3"/>
    </row>
    <row r="2" spans="1:19" ht="15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 t="s">
        <v>71</v>
      </c>
      <c r="P2" s="3" t="s">
        <v>277</v>
      </c>
      <c r="Q2" s="3"/>
      <c r="R2" s="3"/>
      <c r="S2" s="3"/>
    </row>
    <row r="3" spans="1:19" ht="18" customHeight="1" x14ac:dyDescent="0.35">
      <c r="A3" s="3"/>
      <c r="B3" s="179" t="s">
        <v>30</v>
      </c>
      <c r="C3" s="179"/>
      <c r="D3" s="179" t="s">
        <v>31</v>
      </c>
      <c r="E3" s="179"/>
      <c r="F3" s="179" t="s">
        <v>32</v>
      </c>
      <c r="G3" s="179"/>
      <c r="H3" s="179" t="s">
        <v>33</v>
      </c>
      <c r="I3" s="179"/>
      <c r="J3" s="179" t="s">
        <v>34</v>
      </c>
      <c r="K3" s="179"/>
      <c r="L3" s="179" t="s">
        <v>35</v>
      </c>
      <c r="M3" s="179"/>
      <c r="N3" s="3"/>
      <c r="O3" s="3" t="s">
        <v>13</v>
      </c>
      <c r="P3" s="3">
        <f>SUM(Jan:Dec!C17)</f>
        <v>18000</v>
      </c>
      <c r="Q3" s="3"/>
      <c r="R3" s="3"/>
      <c r="S3" s="3"/>
    </row>
    <row r="4" spans="1:19" ht="30" customHeight="1" x14ac:dyDescent="0.35">
      <c r="A4" s="3"/>
      <c r="B4" s="174">
        <f>B20</f>
        <v>62970</v>
      </c>
      <c r="C4" s="174"/>
      <c r="D4" s="175">
        <f>C20</f>
        <v>45595</v>
      </c>
      <c r="E4" s="175"/>
      <c r="F4" s="174">
        <f>D20</f>
        <v>17375</v>
      </c>
      <c r="G4" s="174"/>
      <c r="H4" s="176">
        <f>IFERROR(D20/B20,0)</f>
        <v>0.27592504367158965</v>
      </c>
      <c r="I4" s="177"/>
      <c r="J4" s="175">
        <f>'💳 Debt Tracker'!D10</f>
        <v>502</v>
      </c>
      <c r="K4" s="175"/>
      <c r="L4" s="173">
        <f>'📈 Net Worth'!D4</f>
        <v>114000</v>
      </c>
      <c r="M4" s="173"/>
      <c r="N4" s="3"/>
      <c r="O4" s="3" t="s">
        <v>15</v>
      </c>
      <c r="P4" s="3">
        <f>SUM(Jan:Dec!C18)</f>
        <v>4250</v>
      </c>
      <c r="Q4" s="3"/>
      <c r="R4" s="3"/>
      <c r="S4" s="3"/>
    </row>
    <row r="5" spans="1:19" ht="15" customHeight="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16</v>
      </c>
      <c r="P5" s="3">
        <f>SUM(Jan:Dec!C19)</f>
        <v>7780</v>
      </c>
      <c r="Q5" s="3"/>
      <c r="R5" s="3"/>
      <c r="S5" s="3"/>
    </row>
    <row r="6" spans="1:19" ht="24" customHeight="1" x14ac:dyDescent="0.35">
      <c r="A6" s="5" t="s">
        <v>36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17</v>
      </c>
      <c r="P6" s="3">
        <f>SUM(Jan:Dec!C20)</f>
        <v>2000</v>
      </c>
      <c r="Q6" s="3"/>
      <c r="R6" s="3"/>
      <c r="S6" s="3"/>
    </row>
    <row r="7" spans="1:19" ht="18" customHeight="1" x14ac:dyDescent="0.35">
      <c r="A7" s="12" t="s">
        <v>37</v>
      </c>
      <c r="B7" s="12" t="s">
        <v>38</v>
      </c>
      <c r="C7" s="12" t="s">
        <v>39</v>
      </c>
      <c r="D7" s="12" t="s">
        <v>40</v>
      </c>
      <c r="E7" s="12" t="s">
        <v>41</v>
      </c>
      <c r="F7" s="12" t="s">
        <v>42</v>
      </c>
      <c r="G7" s="3"/>
      <c r="H7" s="3"/>
      <c r="I7" s="3"/>
      <c r="J7" s="3"/>
      <c r="K7" s="3"/>
      <c r="L7" s="3"/>
      <c r="M7" s="3"/>
      <c r="N7" s="3"/>
      <c r="O7" s="3" t="s">
        <v>18</v>
      </c>
      <c r="P7" s="3">
        <f>SUM(Jan:Dec!C21)</f>
        <v>3000</v>
      </c>
      <c r="Q7" s="3"/>
      <c r="R7" s="3"/>
      <c r="S7" s="3"/>
    </row>
    <row r="8" spans="1:19" ht="15" customHeight="1" x14ac:dyDescent="0.35">
      <c r="A8" s="13" t="s">
        <v>43</v>
      </c>
      <c r="B8" s="14">
        <f>IFERROR(Jan!C4,0)</f>
        <v>5050</v>
      </c>
      <c r="C8" s="15">
        <f>IFERROR(Jan!C5,0)</f>
        <v>3395</v>
      </c>
      <c r="D8" s="16">
        <f t="shared" ref="D8:D19" si="0">B8-C8</f>
        <v>1655</v>
      </c>
      <c r="E8" s="17">
        <f t="shared" ref="E8:E19" si="1">IFERROR(D8/B8,0)</f>
        <v>0.32772277227722774</v>
      </c>
      <c r="F8" s="18" t="str">
        <f t="shared" ref="F8:F19" si="2">IF(D8&gt;=0,"✓ Positive","✗ Deficit")</f>
        <v>✓ Positive</v>
      </c>
      <c r="G8" s="3"/>
      <c r="H8" s="3"/>
      <c r="I8" s="3"/>
      <c r="J8" s="3"/>
      <c r="K8" s="3"/>
      <c r="L8" s="3"/>
      <c r="M8" s="3"/>
      <c r="N8" s="3"/>
      <c r="O8" s="3" t="s">
        <v>19</v>
      </c>
      <c r="P8" s="3">
        <f>SUM(Jan:Dec!C22)</f>
        <v>730</v>
      </c>
      <c r="Q8" s="3"/>
      <c r="R8" s="3"/>
      <c r="S8" s="3"/>
    </row>
    <row r="9" spans="1:19" ht="15" customHeight="1" x14ac:dyDescent="0.35">
      <c r="A9" s="19" t="s">
        <v>44</v>
      </c>
      <c r="B9" s="20">
        <f>IFERROR(Feb!C4,0)</f>
        <v>5050</v>
      </c>
      <c r="C9" s="21">
        <f>IFERROR(Feb!C5,0)</f>
        <v>3330</v>
      </c>
      <c r="D9" s="22">
        <f t="shared" si="0"/>
        <v>1720</v>
      </c>
      <c r="E9" s="23">
        <f t="shared" si="1"/>
        <v>0.34059405940594062</v>
      </c>
      <c r="F9" s="24" t="str">
        <f t="shared" si="2"/>
        <v>✓ Positive</v>
      </c>
      <c r="G9" s="3"/>
      <c r="H9" s="3"/>
      <c r="I9" s="3"/>
      <c r="J9" s="3"/>
      <c r="K9" s="3"/>
      <c r="L9" s="3"/>
      <c r="M9" s="3"/>
      <c r="N9" s="3"/>
      <c r="O9" s="3" t="s">
        <v>20</v>
      </c>
      <c r="P9" s="3">
        <f>SUM(Jan:Dec!C23)</f>
        <v>1800</v>
      </c>
      <c r="Q9" s="3"/>
      <c r="R9" s="3"/>
      <c r="S9" s="3"/>
    </row>
    <row r="10" spans="1:19" ht="15" customHeight="1" x14ac:dyDescent="0.35">
      <c r="A10" s="13" t="s">
        <v>45</v>
      </c>
      <c r="B10" s="14">
        <f>IFERROR(Mar!C4,0)</f>
        <v>5050</v>
      </c>
      <c r="C10" s="15">
        <f>IFERROR(Mar!C5,0)</f>
        <v>3560</v>
      </c>
      <c r="D10" s="16">
        <f t="shared" si="0"/>
        <v>1490</v>
      </c>
      <c r="E10" s="17">
        <f t="shared" si="1"/>
        <v>0.29504950495049503</v>
      </c>
      <c r="F10" s="18" t="str">
        <f t="shared" si="2"/>
        <v>✓ Positive</v>
      </c>
      <c r="G10" s="3"/>
      <c r="H10" s="3"/>
      <c r="I10" s="3"/>
      <c r="J10" s="3"/>
      <c r="K10" s="3"/>
      <c r="L10" s="3"/>
      <c r="M10" s="3"/>
      <c r="N10" s="3"/>
      <c r="O10" s="3" t="s">
        <v>21</v>
      </c>
      <c r="P10" s="3">
        <f>SUM(Jan:Dec!C24)</f>
        <v>1830</v>
      </c>
      <c r="Q10" s="3"/>
      <c r="R10" s="3"/>
      <c r="S10" s="3"/>
    </row>
    <row r="11" spans="1:19" ht="15" customHeight="1" x14ac:dyDescent="0.35">
      <c r="A11" s="19" t="s">
        <v>46</v>
      </c>
      <c r="B11" s="20">
        <f>IFERROR(Apr!C4,0)</f>
        <v>5580</v>
      </c>
      <c r="C11" s="21">
        <f>IFERROR(Apr!C5,0)</f>
        <v>3685</v>
      </c>
      <c r="D11" s="22">
        <f t="shared" si="0"/>
        <v>1895</v>
      </c>
      <c r="E11" s="23">
        <f t="shared" si="1"/>
        <v>0.3396057347670251</v>
      </c>
      <c r="F11" s="24" t="str">
        <f t="shared" si="2"/>
        <v>✓ Positive</v>
      </c>
      <c r="G11" s="3"/>
      <c r="H11" s="3"/>
      <c r="I11" s="3"/>
      <c r="J11" s="3"/>
      <c r="K11" s="3"/>
      <c r="L11" s="3"/>
      <c r="M11" s="3"/>
      <c r="N11" s="3"/>
      <c r="O11" s="3" t="s">
        <v>22</v>
      </c>
      <c r="P11" s="3">
        <f>SUM(Jan:Dec!C25)</f>
        <v>785</v>
      </c>
      <c r="Q11" s="3"/>
      <c r="R11" s="3"/>
      <c r="S11" s="3"/>
    </row>
    <row r="12" spans="1:19" ht="15" customHeight="1" x14ac:dyDescent="0.35">
      <c r="A12" s="13" t="s">
        <v>47</v>
      </c>
      <c r="B12" s="14">
        <f>IFERROR(May!C4,0)</f>
        <v>5580</v>
      </c>
      <c r="C12" s="15">
        <f>IFERROR(May!C5,0)</f>
        <v>3790</v>
      </c>
      <c r="D12" s="16">
        <f t="shared" si="0"/>
        <v>1790</v>
      </c>
      <c r="E12" s="17">
        <f t="shared" si="1"/>
        <v>0.32078853046594979</v>
      </c>
      <c r="F12" s="18" t="str">
        <f t="shared" si="2"/>
        <v>✓ Positive</v>
      </c>
      <c r="G12" s="3"/>
      <c r="H12" s="3"/>
      <c r="I12" s="3"/>
      <c r="J12" s="3"/>
      <c r="K12" s="3"/>
      <c r="L12" s="3"/>
      <c r="M12" s="3"/>
      <c r="N12" s="3"/>
      <c r="O12" s="3" t="s">
        <v>23</v>
      </c>
      <c r="P12" s="3">
        <f>SUM(Jan:Dec!C26)</f>
        <v>300</v>
      </c>
      <c r="Q12" s="3"/>
      <c r="R12" s="3"/>
      <c r="S12" s="3"/>
    </row>
    <row r="13" spans="1:19" ht="15" customHeight="1" x14ac:dyDescent="0.35">
      <c r="A13" s="19" t="s">
        <v>48</v>
      </c>
      <c r="B13" s="20">
        <f>IFERROR(Jun!C4,0)</f>
        <v>5080</v>
      </c>
      <c r="C13" s="21">
        <f>IFERROR(Jun!C5,0)</f>
        <v>4375</v>
      </c>
      <c r="D13" s="22">
        <f t="shared" si="0"/>
        <v>705</v>
      </c>
      <c r="E13" s="23">
        <f t="shared" si="1"/>
        <v>0.13877952755905512</v>
      </c>
      <c r="F13" s="24" t="str">
        <f t="shared" si="2"/>
        <v>✓ Positive</v>
      </c>
      <c r="G13" s="3"/>
      <c r="H13" s="3"/>
      <c r="I13" s="3"/>
      <c r="J13" s="3"/>
      <c r="K13" s="3"/>
      <c r="L13" s="3"/>
      <c r="M13" s="3"/>
      <c r="N13" s="3"/>
      <c r="O13" s="3" t="s">
        <v>24</v>
      </c>
      <c r="P13" s="3">
        <f>SUM(Jan:Dec!C27)</f>
        <v>900</v>
      </c>
      <c r="Q13" s="3"/>
      <c r="R13" s="3"/>
      <c r="S13" s="3"/>
    </row>
    <row r="14" spans="1:19" ht="15" customHeight="1" x14ac:dyDescent="0.35">
      <c r="A14" s="13" t="s">
        <v>49</v>
      </c>
      <c r="B14" s="14">
        <f>IFERROR(Jul!C4,0)</f>
        <v>5880</v>
      </c>
      <c r="C14" s="15">
        <f>IFERROR(Jul!C5,0)</f>
        <v>3430</v>
      </c>
      <c r="D14" s="16">
        <f t="shared" si="0"/>
        <v>2450</v>
      </c>
      <c r="E14" s="17">
        <f t="shared" si="1"/>
        <v>0.41666666666666669</v>
      </c>
      <c r="F14" s="18" t="str">
        <f t="shared" si="2"/>
        <v>✓ Positive</v>
      </c>
      <c r="G14" s="3"/>
      <c r="H14" s="3"/>
      <c r="I14" s="3"/>
      <c r="J14" s="3"/>
      <c r="K14" s="3"/>
      <c r="L14" s="3"/>
      <c r="M14" s="3"/>
      <c r="N14" s="3"/>
      <c r="O14" s="3" t="s">
        <v>25</v>
      </c>
      <c r="P14" s="3">
        <f>SUM(Jan:Dec!C28)</f>
        <v>0</v>
      </c>
      <c r="Q14" s="3"/>
      <c r="R14" s="3"/>
      <c r="S14" s="3"/>
    </row>
    <row r="15" spans="1:19" ht="15" customHeight="1" x14ac:dyDescent="0.35">
      <c r="A15" s="19" t="s">
        <v>50</v>
      </c>
      <c r="B15" s="20">
        <f>IFERROR(Aug!C4,0)</f>
        <v>5080</v>
      </c>
      <c r="C15" s="21">
        <f>IFERROR(Aug!C5,0)</f>
        <v>3980</v>
      </c>
      <c r="D15" s="22">
        <f t="shared" si="0"/>
        <v>1100</v>
      </c>
      <c r="E15" s="23">
        <f t="shared" si="1"/>
        <v>0.21653543307086615</v>
      </c>
      <c r="F15" s="24" t="str">
        <f t="shared" si="2"/>
        <v>✓ Positive</v>
      </c>
      <c r="G15" s="3"/>
      <c r="H15" s="3"/>
      <c r="I15" s="3"/>
      <c r="J15" s="3"/>
      <c r="K15" s="3"/>
      <c r="L15" s="3"/>
      <c r="M15" s="3"/>
      <c r="N15" s="3"/>
      <c r="O15" s="3" t="s">
        <v>26</v>
      </c>
      <c r="P15" s="3">
        <f>SUM(Jan:Dec!C29)</f>
        <v>1320</v>
      </c>
      <c r="Q15" s="3"/>
      <c r="R15" s="3"/>
      <c r="S15" s="3"/>
    </row>
    <row r="16" spans="1:19" ht="15" customHeight="1" x14ac:dyDescent="0.35">
      <c r="A16" s="13" t="s">
        <v>51</v>
      </c>
      <c r="B16" s="14">
        <f>IFERROR(Sep!C4,0)</f>
        <v>5080</v>
      </c>
      <c r="C16" s="15">
        <f>IFERROR(Sep!C5,0)</f>
        <v>3520</v>
      </c>
      <c r="D16" s="16">
        <f t="shared" si="0"/>
        <v>1560</v>
      </c>
      <c r="E16" s="17">
        <f t="shared" si="1"/>
        <v>0.30708661417322836</v>
      </c>
      <c r="F16" s="18" t="str">
        <f t="shared" si="2"/>
        <v>✓ Positive</v>
      </c>
      <c r="G16" s="3"/>
      <c r="H16" s="3"/>
      <c r="I16" s="3"/>
      <c r="J16" s="3"/>
      <c r="K16" s="3"/>
      <c r="L16" s="3"/>
      <c r="M16" s="3"/>
      <c r="N16" s="3"/>
      <c r="O16" s="3" t="s">
        <v>27</v>
      </c>
      <c r="P16" s="3">
        <f>SUM(Jan:Dec!C30)</f>
        <v>1750</v>
      </c>
      <c r="Q16" s="3"/>
      <c r="R16" s="3"/>
      <c r="S16" s="3"/>
    </row>
    <row r="17" spans="1:19" ht="15" customHeight="1" x14ac:dyDescent="0.35">
      <c r="A17" s="19" t="s">
        <v>52</v>
      </c>
      <c r="B17" s="20">
        <f>IFERROR(Oct!C4,0)</f>
        <v>5380</v>
      </c>
      <c r="C17" s="21">
        <f>IFERROR(Oct!C5,0)</f>
        <v>3560</v>
      </c>
      <c r="D17" s="22">
        <f t="shared" si="0"/>
        <v>1820</v>
      </c>
      <c r="E17" s="23">
        <f t="shared" si="1"/>
        <v>0.33828996282527879</v>
      </c>
      <c r="F17" s="24" t="str">
        <f t="shared" si="2"/>
        <v>✓ Positive</v>
      </c>
      <c r="G17" s="3"/>
      <c r="H17" s="3"/>
      <c r="I17" s="3"/>
      <c r="J17" s="3"/>
      <c r="K17" s="3"/>
      <c r="L17" s="3"/>
      <c r="M17" s="3"/>
      <c r="N17" s="3"/>
      <c r="O17" s="3" t="s">
        <v>28</v>
      </c>
      <c r="P17" s="3">
        <f>SUM(Jan:Dec!C31)</f>
        <v>1150</v>
      </c>
      <c r="Q17" s="3"/>
      <c r="R17" s="3"/>
      <c r="S17" s="3"/>
    </row>
    <row r="18" spans="1:19" ht="15" customHeight="1" x14ac:dyDescent="0.35">
      <c r="A18" s="13" t="s">
        <v>53</v>
      </c>
      <c r="B18" s="14">
        <f>IFERROR(Nov!C4,0)</f>
        <v>5080</v>
      </c>
      <c r="C18" s="15">
        <f>IFERROR(Nov!C5,0)</f>
        <v>4135</v>
      </c>
      <c r="D18" s="16">
        <f t="shared" si="0"/>
        <v>945</v>
      </c>
      <c r="E18" s="17">
        <f t="shared" si="1"/>
        <v>0.1860236220472441</v>
      </c>
      <c r="F18" s="18" t="str">
        <f t="shared" si="2"/>
        <v>✓ Positive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5" customHeight="1" x14ac:dyDescent="0.35">
      <c r="A19" s="19" t="s">
        <v>54</v>
      </c>
      <c r="B19" s="20">
        <f>IFERROR(Dec!C4,0)</f>
        <v>5080</v>
      </c>
      <c r="C19" s="21">
        <f>IFERROR(Dec!C5,0)</f>
        <v>4835</v>
      </c>
      <c r="D19" s="22">
        <f t="shared" si="0"/>
        <v>245</v>
      </c>
      <c r="E19" s="23">
        <f t="shared" si="1"/>
        <v>4.8228346456692911E-2</v>
      </c>
      <c r="F19" s="24" t="str">
        <f t="shared" si="2"/>
        <v>✓ Positive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9.5" customHeight="1" x14ac:dyDescent="0.35">
      <c r="A20" s="25" t="s">
        <v>55</v>
      </c>
      <c r="B20" s="26">
        <f>SUM(B8:B19)</f>
        <v>62970</v>
      </c>
      <c r="C20" s="26">
        <f>SUM(C8:C19)</f>
        <v>45595</v>
      </c>
      <c r="D20" s="27">
        <f>SUM(D8:D19)</f>
        <v>17375</v>
      </c>
      <c r="E20" s="28">
        <f>IFERROR(D20/B20,0)</f>
        <v>0.27592504367158965</v>
      </c>
      <c r="F20" s="2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ht="1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ht="1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ht="1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ht="1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ht="1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1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1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ht="1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t="1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</sheetData>
  <mergeCells count="13">
    <mergeCell ref="A1:N1"/>
    <mergeCell ref="B3:C3"/>
    <mergeCell ref="D3:E3"/>
    <mergeCell ref="F3:G3"/>
    <mergeCell ref="H3:I3"/>
    <mergeCell ref="J3:K3"/>
    <mergeCell ref="L3:M3"/>
    <mergeCell ref="L4:M4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9E0B"/>
  </sheetPr>
  <dimension ref="A1:I59"/>
  <sheetViews>
    <sheetView zoomScaleNormal="100" workbookViewId="0">
      <pane xSplit="2" ySplit="5" topLeftCell="C15" activePane="bottomRight" state="frozen"/>
      <selection pane="topRight" activeCell="C1" sqref="C1"/>
      <selection pane="bottomLeft" activeCell="A6" sqref="A6"/>
      <selection pane="bottomRight" sqref="A1:E1"/>
    </sheetView>
  </sheetViews>
  <sheetFormatPr baseColWidth="10" defaultColWidth="8.6328125" defaultRowHeight="14.5" x14ac:dyDescent="0.35"/>
  <cols>
    <col min="1" max="1" width="26" customWidth="1"/>
    <col min="2" max="2" width="18" customWidth="1"/>
    <col min="3" max="5" width="15" customWidth="1"/>
  </cols>
  <sheetData>
    <row r="1" spans="1:9" ht="27.75" customHeight="1" x14ac:dyDescent="0.35">
      <c r="A1" s="180" t="str">
        <f>"📅 JAN "&amp;'⚙ Setup'!$B$10&amp;"  ·  Monthly Budget"</f>
        <v>📅 JAN 2026  ·  Monthly Budget</v>
      </c>
      <c r="B1" s="180"/>
      <c r="C1" s="180"/>
      <c r="D1" s="180"/>
      <c r="E1" s="180"/>
      <c r="F1" s="3"/>
      <c r="G1" s="3"/>
      <c r="H1" s="3"/>
      <c r="I1" s="3"/>
    </row>
    <row r="2" spans="1:9" ht="15" customHeight="1" x14ac:dyDescent="0.35">
      <c r="A2" s="2" t="s">
        <v>56</v>
      </c>
      <c r="B2" s="3"/>
      <c r="C2" s="2" t="s">
        <v>57</v>
      </c>
      <c r="D2" s="3"/>
      <c r="E2" s="2" t="s">
        <v>58</v>
      </c>
      <c r="F2" s="3"/>
      <c r="G2" s="3"/>
      <c r="H2" s="3"/>
      <c r="I2" s="3"/>
    </row>
    <row r="3" spans="1:9" ht="18" customHeight="1" x14ac:dyDescent="0.35">
      <c r="A3" s="29">
        <f>C4</f>
        <v>5050</v>
      </c>
      <c r="B3" s="3"/>
      <c r="C3" s="30">
        <f>C5</f>
        <v>3395</v>
      </c>
      <c r="D3" s="3"/>
      <c r="E3" s="31">
        <f>C4-C5</f>
        <v>1655</v>
      </c>
      <c r="F3" s="3"/>
      <c r="G3" s="3"/>
      <c r="H3" s="3"/>
      <c r="I3" s="3"/>
    </row>
    <row r="4" spans="1:9" ht="1.5" customHeight="1" x14ac:dyDescent="0.35">
      <c r="A4" s="3"/>
      <c r="B4" s="32" t="s">
        <v>59</v>
      </c>
      <c r="C4" s="32">
        <f>IFERROR(C13,0)</f>
        <v>5050</v>
      </c>
      <c r="D4" s="3"/>
      <c r="E4" s="3"/>
      <c r="F4" s="3"/>
      <c r="G4" s="3"/>
      <c r="H4" s="3"/>
      <c r="I4" s="3"/>
    </row>
    <row r="5" spans="1:9" ht="1.5" customHeight="1" x14ac:dyDescent="0.35">
      <c r="A5" s="3"/>
      <c r="B5" s="32" t="s">
        <v>60</v>
      </c>
      <c r="C5" s="32">
        <f>IFERROR(C32,0)</f>
        <v>3395</v>
      </c>
      <c r="D5" s="3"/>
      <c r="E5" s="3"/>
      <c r="F5" s="3"/>
      <c r="G5" s="3"/>
      <c r="H5" s="3"/>
      <c r="I5" s="3"/>
    </row>
    <row r="6" spans="1:9" ht="24" customHeight="1" x14ac:dyDescent="0.35">
      <c r="A6" s="5" t="s">
        <v>38</v>
      </c>
      <c r="B6" s="3"/>
      <c r="C6" s="3"/>
      <c r="D6" s="3"/>
      <c r="E6" s="3"/>
      <c r="F6" s="3"/>
      <c r="G6" s="3"/>
      <c r="H6" s="3"/>
      <c r="I6" s="3"/>
    </row>
    <row r="7" spans="1:9" ht="15" customHeight="1" x14ac:dyDescent="0.35">
      <c r="A7" s="33" t="s">
        <v>61</v>
      </c>
      <c r="B7" s="33" t="s">
        <v>62</v>
      </c>
      <c r="C7" s="33" t="s">
        <v>63</v>
      </c>
      <c r="D7" s="33" t="s">
        <v>64</v>
      </c>
      <c r="E7" s="33" t="s">
        <v>65</v>
      </c>
      <c r="F7" s="3"/>
      <c r="G7" s="3"/>
      <c r="H7" s="3"/>
      <c r="I7" s="3"/>
    </row>
    <row r="8" spans="1:9" ht="15" customHeight="1" x14ac:dyDescent="0.35">
      <c r="A8" s="34" t="s">
        <v>66</v>
      </c>
      <c r="B8" s="35"/>
      <c r="C8" s="16">
        <f>IFERROR('⚙ Setup'!$B$7,0)</f>
        <v>5000</v>
      </c>
      <c r="D8" s="16">
        <f>IFERROR(IF(ISNUMBER('⚙ Setup'!$B$7),'⚙ Setup'!$B$7,0),0)</f>
        <v>5000</v>
      </c>
      <c r="E8" s="36">
        <f>C8-D8</f>
        <v>0</v>
      </c>
      <c r="F8" s="3"/>
      <c r="G8" s="3"/>
      <c r="H8" s="3"/>
      <c r="I8" s="3"/>
    </row>
    <row r="9" spans="1:9" ht="15" customHeight="1" x14ac:dyDescent="0.35">
      <c r="A9" s="37" t="s">
        <v>67</v>
      </c>
      <c r="B9" s="38"/>
      <c r="C9" s="22">
        <v>0</v>
      </c>
      <c r="D9" s="22">
        <v>0</v>
      </c>
      <c r="E9" s="39">
        <f>C9-D9</f>
        <v>0</v>
      </c>
      <c r="F9" s="3"/>
      <c r="G9" s="3"/>
      <c r="H9" s="3"/>
      <c r="I9" s="3"/>
    </row>
    <row r="10" spans="1:9" ht="15" customHeight="1" x14ac:dyDescent="0.35">
      <c r="A10" s="34" t="s">
        <v>68</v>
      </c>
      <c r="B10" s="35"/>
      <c r="C10" s="16">
        <v>0</v>
      </c>
      <c r="D10" s="16">
        <v>200</v>
      </c>
      <c r="E10" s="36">
        <f>C10-D10</f>
        <v>-200</v>
      </c>
      <c r="F10" s="3"/>
      <c r="G10" s="3"/>
      <c r="H10" s="3"/>
      <c r="I10" s="3"/>
    </row>
    <row r="11" spans="1:9" ht="15" customHeight="1" x14ac:dyDescent="0.35">
      <c r="A11" s="37" t="s">
        <v>69</v>
      </c>
      <c r="B11" s="38"/>
      <c r="C11" s="22">
        <v>50</v>
      </c>
      <c r="D11" s="22">
        <v>50</v>
      </c>
      <c r="E11" s="39">
        <f>C11-D11</f>
        <v>0</v>
      </c>
      <c r="F11" s="3"/>
      <c r="G11" s="3"/>
      <c r="H11" s="3"/>
      <c r="I11" s="3"/>
    </row>
    <row r="12" spans="1:9" ht="15" customHeight="1" x14ac:dyDescent="0.35">
      <c r="A12" s="34" t="s">
        <v>70</v>
      </c>
      <c r="B12" s="35"/>
      <c r="C12" s="16">
        <v>0</v>
      </c>
      <c r="D12" s="16">
        <v>0</v>
      </c>
      <c r="E12" s="36">
        <f>C12-D12</f>
        <v>0</v>
      </c>
      <c r="F12" s="3"/>
      <c r="G12" s="3"/>
      <c r="H12" s="3"/>
      <c r="I12" s="3"/>
    </row>
    <row r="13" spans="1:9" ht="15" customHeight="1" x14ac:dyDescent="0.35">
      <c r="A13" s="40" t="s">
        <v>30</v>
      </c>
      <c r="B13" s="3"/>
      <c r="C13" s="41">
        <f>SUM(C8:C12)</f>
        <v>5050</v>
      </c>
      <c r="D13" s="42">
        <f>SUM(D8:D12)</f>
        <v>5250</v>
      </c>
      <c r="E13" s="3"/>
      <c r="F13" s="3"/>
      <c r="G13" s="3"/>
      <c r="H13" s="3"/>
      <c r="I13" s="3"/>
    </row>
    <row r="14" spans="1:9" ht="15" customHeight="1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9" ht="24" customHeight="1" x14ac:dyDescent="0.35">
      <c r="A15" s="5" t="s">
        <v>39</v>
      </c>
      <c r="B15" s="3"/>
      <c r="C15" s="3"/>
      <c r="D15" s="3"/>
      <c r="E15" s="3"/>
      <c r="F15" s="3"/>
      <c r="G15" s="3"/>
      <c r="H15" s="3"/>
      <c r="I15" s="3"/>
    </row>
    <row r="16" spans="1:9" ht="15" customHeight="1" x14ac:dyDescent="0.35">
      <c r="A16" s="33" t="s">
        <v>71</v>
      </c>
      <c r="B16" s="33" t="s">
        <v>62</v>
      </c>
      <c r="C16" s="33" t="s">
        <v>72</v>
      </c>
      <c r="D16" s="33" t="s">
        <v>64</v>
      </c>
      <c r="E16" s="33" t="s">
        <v>65</v>
      </c>
      <c r="F16" s="3"/>
      <c r="G16" s="3"/>
      <c r="H16" s="3"/>
      <c r="I16" s="3"/>
    </row>
    <row r="17" spans="1:9" ht="15" customHeight="1" x14ac:dyDescent="0.35">
      <c r="A17" s="34" t="s">
        <v>13</v>
      </c>
      <c r="B17" s="35"/>
      <c r="C17" s="16">
        <v>1500</v>
      </c>
      <c r="D17" s="16" cm="1">
        <f t="array" ref="D17">IFERROR(IF(ISNUMBER(INDEX('⚙ Setup'!$B:$B,ROW()-2)),INDEX('⚙ Setup'!$B:$B,ROW()-2),0),0)</f>
        <v>0</v>
      </c>
      <c r="E17" s="43">
        <f t="shared" ref="E17:E31" si="0">D17-C17</f>
        <v>-1500</v>
      </c>
      <c r="F17" s="3"/>
      <c r="G17" s="3"/>
      <c r="H17" s="3"/>
      <c r="I17" s="3"/>
    </row>
    <row r="18" spans="1:9" ht="15" customHeight="1" x14ac:dyDescent="0.35">
      <c r="A18" s="37" t="s">
        <v>15</v>
      </c>
      <c r="B18" s="38"/>
      <c r="C18" s="22">
        <v>350</v>
      </c>
      <c r="D18" s="22" cm="1">
        <f t="array" ref="D18">IFERROR(IF(ISNUMBER(INDEX('⚙ Setup'!$B:$B,ROW()-2)),INDEX('⚙ Setup'!$B:$B,ROW()-2),0),0)</f>
        <v>0</v>
      </c>
      <c r="E18" s="44">
        <f t="shared" si="0"/>
        <v>-350</v>
      </c>
      <c r="F18" s="3"/>
      <c r="G18" s="3"/>
      <c r="H18" s="3"/>
      <c r="I18" s="3"/>
    </row>
    <row r="19" spans="1:9" ht="15" customHeight="1" x14ac:dyDescent="0.35">
      <c r="A19" s="34" t="s">
        <v>16</v>
      </c>
      <c r="B19" s="35"/>
      <c r="C19" s="16">
        <v>580</v>
      </c>
      <c r="D19" s="16" cm="1">
        <f t="array" ref="D19">IFERROR(IF(ISNUMBER(INDEX('⚙ Setup'!$B:$B,ROW()-2)),INDEX('⚙ Setup'!$B:$B,ROW()-2),0),0)</f>
        <v>0</v>
      </c>
      <c r="E19" s="43">
        <f t="shared" si="0"/>
        <v>-580</v>
      </c>
      <c r="F19" s="3"/>
      <c r="G19" s="3"/>
      <c r="H19" s="3"/>
      <c r="I19" s="3"/>
    </row>
    <row r="20" spans="1:9" ht="15" customHeight="1" x14ac:dyDescent="0.35">
      <c r="A20" s="37" t="s">
        <v>17</v>
      </c>
      <c r="B20" s="38"/>
      <c r="C20" s="22">
        <v>180</v>
      </c>
      <c r="D20" s="22" cm="1">
        <f t="array" ref="D20">IFERROR(IF(ISNUMBER(INDEX('⚙ Setup'!$B:$B,ROW()-2)),INDEX('⚙ Setup'!$B:$B,ROW()-2),0),0)</f>
        <v>0</v>
      </c>
      <c r="E20" s="44">
        <f t="shared" si="0"/>
        <v>-180</v>
      </c>
      <c r="F20" s="3"/>
      <c r="G20" s="3"/>
      <c r="H20" s="3"/>
      <c r="I20" s="3"/>
    </row>
    <row r="21" spans="1:9" ht="15" customHeight="1" x14ac:dyDescent="0.35">
      <c r="A21" s="34" t="s">
        <v>18</v>
      </c>
      <c r="B21" s="35"/>
      <c r="C21" s="16">
        <v>250</v>
      </c>
      <c r="D21" s="16" cm="1">
        <f t="array" ref="D21">IFERROR(IF(ISNUMBER(INDEX('⚙ Setup'!$B:$B,ROW()-2)),INDEX('⚙ Setup'!$B:$B,ROW()-2),0),0)</f>
        <v>0</v>
      </c>
      <c r="E21" s="43">
        <f t="shared" si="0"/>
        <v>-250</v>
      </c>
      <c r="F21" s="3"/>
      <c r="G21" s="3"/>
      <c r="H21" s="3"/>
      <c r="I21" s="3"/>
    </row>
    <row r="22" spans="1:9" ht="15" customHeight="1" x14ac:dyDescent="0.35">
      <c r="A22" s="37" t="s">
        <v>19</v>
      </c>
      <c r="B22" s="38"/>
      <c r="C22" s="22">
        <v>100</v>
      </c>
      <c r="D22" s="22" cm="1">
        <f t="array" ref="D22">IFERROR(IF(ISNUMBER(INDEX('⚙ Setup'!$B:$B,ROW()-2)),INDEX('⚙ Setup'!$B:$B,ROW()-2),0),0)</f>
        <v>0</v>
      </c>
      <c r="E22" s="44">
        <f t="shared" si="0"/>
        <v>-100</v>
      </c>
      <c r="F22" s="3"/>
      <c r="G22" s="3"/>
      <c r="H22" s="3"/>
      <c r="I22" s="3"/>
    </row>
    <row r="23" spans="1:9" ht="15" customHeight="1" x14ac:dyDescent="0.35">
      <c r="A23" s="34" t="s">
        <v>20</v>
      </c>
      <c r="B23" s="35"/>
      <c r="C23" s="16">
        <v>120</v>
      </c>
      <c r="D23" s="16" cm="1">
        <f t="array" ref="D23">IFERROR(IF(ISNUMBER(INDEX('⚙ Setup'!$B:$B,ROW()-2)),INDEX('⚙ Setup'!$B:$B,ROW()-2),0),0)</f>
        <v>0</v>
      </c>
      <c r="E23" s="43">
        <f t="shared" si="0"/>
        <v>-120</v>
      </c>
      <c r="F23" s="3"/>
      <c r="G23" s="3"/>
      <c r="H23" s="3"/>
      <c r="I23" s="3"/>
    </row>
    <row r="24" spans="1:9" ht="15" customHeight="1" x14ac:dyDescent="0.35">
      <c r="A24" s="37" t="s">
        <v>21</v>
      </c>
      <c r="B24" s="38"/>
      <c r="C24" s="22">
        <v>50</v>
      </c>
      <c r="D24" s="22" cm="1">
        <f t="array" ref="D24">IFERROR(IF(ISNUMBER(INDEX('⚙ Setup'!$B:$B,ROW()-2)),INDEX('⚙ Setup'!$B:$B,ROW()-2),0),0)</f>
        <v>0</v>
      </c>
      <c r="E24" s="44">
        <f t="shared" si="0"/>
        <v>-50</v>
      </c>
      <c r="F24" s="3"/>
      <c r="G24" s="3"/>
      <c r="H24" s="3"/>
      <c r="I24" s="3"/>
    </row>
    <row r="25" spans="1:9" ht="15" customHeight="1" x14ac:dyDescent="0.35">
      <c r="A25" s="34" t="s">
        <v>22</v>
      </c>
      <c r="B25" s="35"/>
      <c r="C25" s="16">
        <v>60</v>
      </c>
      <c r="D25" s="16" cm="1">
        <f t="array" ref="D25">IFERROR(IF(ISNUMBER(INDEX('⚙ Setup'!$B:$B,ROW()-2)),INDEX('⚙ Setup'!$B:$B,ROW()-2),0),0)</f>
        <v>0</v>
      </c>
      <c r="E25" s="43">
        <f t="shared" si="0"/>
        <v>-60</v>
      </c>
      <c r="F25" s="3"/>
      <c r="G25" s="3"/>
      <c r="H25" s="3"/>
      <c r="I25" s="3"/>
    </row>
    <row r="26" spans="1:9" ht="15" customHeight="1" x14ac:dyDescent="0.35">
      <c r="A26" s="37" t="s">
        <v>23</v>
      </c>
      <c r="B26" s="38"/>
      <c r="C26" s="22">
        <v>0</v>
      </c>
      <c r="D26" s="22" cm="1">
        <f t="array" ref="D26">IFERROR(IF(ISNUMBER(INDEX('⚙ Setup'!$B:$B,ROW()-2)),INDEX('⚙ Setup'!$B:$B,ROW()-2),0),0)</f>
        <v>0</v>
      </c>
      <c r="E26" s="44">
        <f t="shared" si="0"/>
        <v>0</v>
      </c>
      <c r="F26" s="3"/>
      <c r="G26" s="3"/>
      <c r="H26" s="3"/>
      <c r="I26" s="3"/>
    </row>
    <row r="27" spans="1:9" ht="15" customHeight="1" x14ac:dyDescent="0.35">
      <c r="A27" s="34" t="s">
        <v>24</v>
      </c>
      <c r="B27" s="35"/>
      <c r="C27" s="16">
        <v>75</v>
      </c>
      <c r="D27" s="16" cm="1">
        <f t="array" ref="D27">IFERROR(IF(ISNUMBER(INDEX('⚙ Setup'!$B:$B,ROW()-2)),INDEX('⚙ Setup'!$B:$B,ROW()-2),0),0)</f>
        <v>0</v>
      </c>
      <c r="E27" s="43">
        <f t="shared" si="0"/>
        <v>-75</v>
      </c>
      <c r="F27" s="3"/>
      <c r="G27" s="3"/>
      <c r="H27" s="3"/>
      <c r="I27" s="3"/>
    </row>
    <row r="28" spans="1:9" ht="15" customHeight="1" x14ac:dyDescent="0.35">
      <c r="A28" s="37" t="s">
        <v>25</v>
      </c>
      <c r="B28" s="38"/>
      <c r="C28" s="22">
        <v>0</v>
      </c>
      <c r="D28" s="22" cm="1">
        <f t="array" ref="D28">IFERROR(IF(ISNUMBER(INDEX('⚙ Setup'!$B:$B,ROW()-2)),INDEX('⚙ Setup'!$B:$B,ROW()-2),0),0)</f>
        <v>0</v>
      </c>
      <c r="E28" s="44">
        <f t="shared" si="0"/>
        <v>0</v>
      </c>
      <c r="F28" s="3"/>
      <c r="G28" s="3"/>
      <c r="H28" s="3"/>
      <c r="I28" s="3"/>
    </row>
    <row r="29" spans="1:9" ht="15" customHeight="1" x14ac:dyDescent="0.35">
      <c r="A29" s="34" t="s">
        <v>26</v>
      </c>
      <c r="B29" s="35"/>
      <c r="C29" s="16">
        <v>50</v>
      </c>
      <c r="D29" s="16" cm="1">
        <f t="array" ref="D29">IFERROR(IF(ISNUMBER(INDEX('⚙ Setup'!$B:$B,ROW()-2)),INDEX('⚙ Setup'!$B:$B,ROW()-2),0),0)</f>
        <v>0</v>
      </c>
      <c r="E29" s="43">
        <f t="shared" si="0"/>
        <v>-50</v>
      </c>
      <c r="F29" s="3"/>
      <c r="G29" s="3"/>
      <c r="H29" s="3"/>
      <c r="I29" s="3"/>
    </row>
    <row r="30" spans="1:9" ht="15" customHeight="1" x14ac:dyDescent="0.35">
      <c r="A30" s="37" t="s">
        <v>27</v>
      </c>
      <c r="B30" s="38"/>
      <c r="C30" s="22">
        <v>0</v>
      </c>
      <c r="D30" s="22" cm="1">
        <f t="array" ref="D30">IFERROR(IF(ISNUMBER(INDEX('⚙ Setup'!$B:$B,ROW()-2)),INDEX('⚙ Setup'!$B:$B,ROW()-2),0),0)</f>
        <v>0</v>
      </c>
      <c r="E30" s="44">
        <f t="shared" si="0"/>
        <v>0</v>
      </c>
      <c r="F30" s="3"/>
      <c r="G30" s="3"/>
      <c r="H30" s="3"/>
      <c r="I30" s="3"/>
    </row>
    <row r="31" spans="1:9" ht="15" customHeight="1" x14ac:dyDescent="0.35">
      <c r="A31" s="34" t="s">
        <v>28</v>
      </c>
      <c r="B31" s="35"/>
      <c r="C31" s="16">
        <v>80</v>
      </c>
      <c r="D31" s="16" cm="1">
        <f t="array" ref="D31">IFERROR(IF(ISNUMBER(INDEX('⚙ Setup'!$B:$B,ROW()-2)),INDEX('⚙ Setup'!$B:$B,ROW()-2),0),0)</f>
        <v>0</v>
      </c>
      <c r="E31" s="43">
        <f t="shared" si="0"/>
        <v>-80</v>
      </c>
      <c r="F31" s="3"/>
      <c r="G31" s="3"/>
      <c r="H31" s="3"/>
      <c r="I31" s="3"/>
    </row>
    <row r="32" spans="1:9" ht="15" customHeight="1" x14ac:dyDescent="0.35">
      <c r="A32" s="45" t="s">
        <v>31</v>
      </c>
      <c r="B32" s="3"/>
      <c r="C32" s="46">
        <f>SUM(C17:C31)</f>
        <v>3395</v>
      </c>
      <c r="D32" s="42">
        <f>SUM(D17:D31)</f>
        <v>0</v>
      </c>
      <c r="E32" s="3"/>
      <c r="F32" s="3"/>
      <c r="G32" s="3"/>
      <c r="H32" s="3"/>
      <c r="I32" s="3"/>
    </row>
    <row r="33" spans="1:9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35">
      <c r="A34" s="47" t="s">
        <v>73</v>
      </c>
      <c r="B34" s="3"/>
      <c r="C34" s="48">
        <f>C13-C32</f>
        <v>1655</v>
      </c>
      <c r="D34" s="3"/>
      <c r="E34" s="3"/>
      <c r="F34" s="3"/>
      <c r="G34" s="3"/>
      <c r="H34" s="3"/>
      <c r="I34" s="3"/>
    </row>
    <row r="35" spans="1: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</row>
    <row r="36" spans="1:9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</row>
    <row r="38" spans="1: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</row>
    <row r="40" spans="1:9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</row>
    <row r="41" spans="1:9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</row>
    <row r="43" spans="1: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</row>
    <row r="45" spans="1: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</row>
    <row r="46" spans="1: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</row>
    <row r="47" spans="1: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</row>
    <row r="48" spans="1:9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</row>
    <row r="49" spans="1: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</row>
    <row r="52" spans="1:9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</row>
    <row r="53" spans="1:9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</row>
    <row r="54" spans="1:9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</row>
    <row r="55" spans="1:9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</row>
    <row r="56" spans="1:9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</row>
    <row r="57" spans="1:9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</row>
    <row r="58" spans="1:9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</row>
    <row r="59" spans="1:9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9E0B"/>
  </sheetPr>
  <dimension ref="A1:I5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E1"/>
    </sheetView>
  </sheetViews>
  <sheetFormatPr baseColWidth="10" defaultColWidth="8.6328125" defaultRowHeight="14.5" x14ac:dyDescent="0.35"/>
  <cols>
    <col min="1" max="1" width="26" customWidth="1"/>
    <col min="2" max="2" width="18" customWidth="1"/>
    <col min="3" max="5" width="15" customWidth="1"/>
  </cols>
  <sheetData>
    <row r="1" spans="1:9" ht="27.75" customHeight="1" x14ac:dyDescent="0.35">
      <c r="A1" s="180" t="str">
        <f>"📅 FEB "&amp;'⚙ Setup'!$B$10&amp;"  ·  Monthly Budget"</f>
        <v>📅 FEB 2026  ·  Monthly Budget</v>
      </c>
      <c r="B1" s="180"/>
      <c r="C1" s="180"/>
      <c r="D1" s="180"/>
      <c r="E1" s="180"/>
      <c r="F1" s="3"/>
      <c r="G1" s="3"/>
      <c r="H1" s="3"/>
      <c r="I1" s="3"/>
    </row>
    <row r="2" spans="1:9" ht="15" customHeight="1" x14ac:dyDescent="0.35">
      <c r="A2" s="2" t="s">
        <v>56</v>
      </c>
      <c r="B2" s="3"/>
      <c r="C2" s="2" t="s">
        <v>57</v>
      </c>
      <c r="D2" s="3"/>
      <c r="E2" s="2" t="s">
        <v>58</v>
      </c>
      <c r="F2" s="3"/>
      <c r="G2" s="3"/>
      <c r="H2" s="3"/>
      <c r="I2" s="3"/>
    </row>
    <row r="3" spans="1:9" ht="18" customHeight="1" x14ac:dyDescent="0.35">
      <c r="A3" s="29">
        <f>C4</f>
        <v>5050</v>
      </c>
      <c r="B3" s="3"/>
      <c r="C3" s="30">
        <f>C5</f>
        <v>3330</v>
      </c>
      <c r="D3" s="3"/>
      <c r="E3" s="31">
        <f>C4-C5</f>
        <v>1720</v>
      </c>
      <c r="F3" s="3"/>
      <c r="G3" s="3"/>
      <c r="H3" s="3"/>
      <c r="I3" s="3"/>
    </row>
    <row r="4" spans="1:9" ht="1.5" customHeight="1" x14ac:dyDescent="0.35">
      <c r="A4" s="3"/>
      <c r="B4" s="32" t="s">
        <v>59</v>
      </c>
      <c r="C4" s="32">
        <f>IFERROR(C13,0)</f>
        <v>5050</v>
      </c>
      <c r="D4" s="3"/>
      <c r="E4" s="3"/>
      <c r="F4" s="3"/>
      <c r="G4" s="3"/>
      <c r="H4" s="3"/>
      <c r="I4" s="3"/>
    </row>
    <row r="5" spans="1:9" ht="1.5" customHeight="1" x14ac:dyDescent="0.35">
      <c r="A5" s="3"/>
      <c r="B5" s="32" t="s">
        <v>60</v>
      </c>
      <c r="C5" s="32">
        <f>IFERROR(C32,0)</f>
        <v>3330</v>
      </c>
      <c r="D5" s="3"/>
      <c r="E5" s="3"/>
      <c r="F5" s="3"/>
      <c r="G5" s="3"/>
      <c r="H5" s="3"/>
      <c r="I5" s="3"/>
    </row>
    <row r="6" spans="1:9" ht="24" customHeight="1" x14ac:dyDescent="0.35">
      <c r="A6" s="5" t="s">
        <v>38</v>
      </c>
      <c r="B6" s="3"/>
      <c r="C6" s="3"/>
      <c r="D6" s="3"/>
      <c r="E6" s="3"/>
      <c r="F6" s="3"/>
      <c r="G6" s="3"/>
      <c r="H6" s="3"/>
      <c r="I6" s="3"/>
    </row>
    <row r="7" spans="1:9" ht="15" customHeight="1" x14ac:dyDescent="0.35">
      <c r="A7" s="33" t="s">
        <v>61</v>
      </c>
      <c r="B7" s="33" t="s">
        <v>62</v>
      </c>
      <c r="C7" s="33" t="s">
        <v>63</v>
      </c>
      <c r="D7" s="33" t="s">
        <v>64</v>
      </c>
      <c r="E7" s="33" t="s">
        <v>65</v>
      </c>
      <c r="F7" s="3"/>
      <c r="G7" s="3"/>
      <c r="H7" s="3"/>
      <c r="I7" s="3"/>
    </row>
    <row r="8" spans="1:9" ht="15" customHeight="1" x14ac:dyDescent="0.35">
      <c r="A8" s="34" t="s">
        <v>66</v>
      </c>
      <c r="B8" s="35"/>
      <c r="C8" s="16">
        <f>IFERROR('⚙ Setup'!$B$7,0)</f>
        <v>5000</v>
      </c>
      <c r="D8" s="16">
        <f>IFERROR(IF(ISNUMBER('⚙ Setup'!$B$7),'⚙ Setup'!$B$7,0),0)</f>
        <v>5000</v>
      </c>
      <c r="E8" s="36">
        <f>C8-D8</f>
        <v>0</v>
      </c>
      <c r="F8" s="3"/>
      <c r="G8" s="3"/>
      <c r="H8" s="3"/>
      <c r="I8" s="3"/>
    </row>
    <row r="9" spans="1:9" ht="15" customHeight="1" x14ac:dyDescent="0.35">
      <c r="A9" s="37" t="s">
        <v>67</v>
      </c>
      <c r="B9" s="38"/>
      <c r="C9" s="22">
        <v>0</v>
      </c>
      <c r="D9" s="22">
        <v>0</v>
      </c>
      <c r="E9" s="39">
        <f>C9-D9</f>
        <v>0</v>
      </c>
      <c r="F9" s="3"/>
      <c r="G9" s="3"/>
      <c r="H9" s="3"/>
      <c r="I9" s="3"/>
    </row>
    <row r="10" spans="1:9" ht="15" customHeight="1" x14ac:dyDescent="0.35">
      <c r="A10" s="34" t="s">
        <v>68</v>
      </c>
      <c r="B10" s="35"/>
      <c r="C10" s="16">
        <v>0</v>
      </c>
      <c r="D10" s="16">
        <v>200</v>
      </c>
      <c r="E10" s="36">
        <f>C10-D10</f>
        <v>-200</v>
      </c>
      <c r="F10" s="3"/>
      <c r="G10" s="3"/>
      <c r="H10" s="3"/>
      <c r="I10" s="3"/>
    </row>
    <row r="11" spans="1:9" ht="15" customHeight="1" x14ac:dyDescent="0.35">
      <c r="A11" s="37" t="s">
        <v>69</v>
      </c>
      <c r="B11" s="38"/>
      <c r="C11" s="22">
        <v>50</v>
      </c>
      <c r="D11" s="22">
        <v>50</v>
      </c>
      <c r="E11" s="39">
        <f>C11-D11</f>
        <v>0</v>
      </c>
      <c r="F11" s="3"/>
      <c r="G11" s="3"/>
      <c r="H11" s="3"/>
      <c r="I11" s="3"/>
    </row>
    <row r="12" spans="1:9" ht="15" customHeight="1" x14ac:dyDescent="0.35">
      <c r="A12" s="34" t="s">
        <v>70</v>
      </c>
      <c r="B12" s="35"/>
      <c r="C12" s="16">
        <v>0</v>
      </c>
      <c r="D12" s="16">
        <v>0</v>
      </c>
      <c r="E12" s="36">
        <f>C12-D12</f>
        <v>0</v>
      </c>
      <c r="F12" s="3"/>
      <c r="G12" s="3"/>
      <c r="H12" s="3"/>
      <c r="I12" s="3"/>
    </row>
    <row r="13" spans="1:9" ht="15" customHeight="1" x14ac:dyDescent="0.35">
      <c r="A13" s="40" t="s">
        <v>30</v>
      </c>
      <c r="B13" s="3"/>
      <c r="C13" s="41">
        <f>SUM(C8:C12)</f>
        <v>5050</v>
      </c>
      <c r="D13" s="42">
        <f>SUM(D8:D12)</f>
        <v>5250</v>
      </c>
      <c r="E13" s="3"/>
      <c r="F13" s="3"/>
      <c r="G13" s="3"/>
      <c r="H13" s="3"/>
      <c r="I13" s="3"/>
    </row>
    <row r="14" spans="1:9" ht="15" customHeight="1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9" ht="24" customHeight="1" x14ac:dyDescent="0.35">
      <c r="A15" s="5" t="s">
        <v>39</v>
      </c>
      <c r="B15" s="3"/>
      <c r="C15" s="3"/>
      <c r="D15" s="3"/>
      <c r="E15" s="3"/>
      <c r="F15" s="3"/>
      <c r="G15" s="3"/>
      <c r="H15" s="3"/>
      <c r="I15" s="3"/>
    </row>
    <row r="16" spans="1:9" ht="15" customHeight="1" x14ac:dyDescent="0.35">
      <c r="A16" s="33" t="s">
        <v>71</v>
      </c>
      <c r="B16" s="33" t="s">
        <v>62</v>
      </c>
      <c r="C16" s="33" t="s">
        <v>72</v>
      </c>
      <c r="D16" s="33" t="s">
        <v>64</v>
      </c>
      <c r="E16" s="33" t="s">
        <v>65</v>
      </c>
      <c r="F16" s="3"/>
      <c r="G16" s="3"/>
      <c r="H16" s="3"/>
      <c r="I16" s="3"/>
    </row>
    <row r="17" spans="1:9" ht="15" customHeight="1" x14ac:dyDescent="0.35">
      <c r="A17" s="34" t="s">
        <v>13</v>
      </c>
      <c r="B17" s="35"/>
      <c r="C17" s="16">
        <v>1500</v>
      </c>
      <c r="D17" s="16" cm="1">
        <f t="array" ref="D17">IFERROR(IF(ISNUMBER(INDEX('⚙ Setup'!$B:$B,ROW()-2)),INDEX('⚙ Setup'!$B:$B,ROW()-2),0),0)</f>
        <v>0</v>
      </c>
      <c r="E17" s="43">
        <f t="shared" ref="E17:E31" si="0">D17-C17</f>
        <v>-1500</v>
      </c>
      <c r="F17" s="3"/>
      <c r="G17" s="3"/>
      <c r="H17" s="3"/>
      <c r="I17" s="3"/>
    </row>
    <row r="18" spans="1:9" ht="15" customHeight="1" x14ac:dyDescent="0.35">
      <c r="A18" s="37" t="s">
        <v>15</v>
      </c>
      <c r="B18" s="38"/>
      <c r="C18" s="22">
        <v>350</v>
      </c>
      <c r="D18" s="22" cm="1">
        <f t="array" ref="D18">IFERROR(IF(ISNUMBER(INDEX('⚙ Setup'!$B:$B,ROW()-2)),INDEX('⚙ Setup'!$B:$B,ROW()-2),0),0)</f>
        <v>0</v>
      </c>
      <c r="E18" s="44">
        <f t="shared" si="0"/>
        <v>-350</v>
      </c>
      <c r="F18" s="3"/>
      <c r="G18" s="3"/>
      <c r="H18" s="3"/>
      <c r="I18" s="3"/>
    </row>
    <row r="19" spans="1:9" ht="15" customHeight="1" x14ac:dyDescent="0.35">
      <c r="A19" s="34" t="s">
        <v>16</v>
      </c>
      <c r="B19" s="35"/>
      <c r="C19" s="16">
        <v>610</v>
      </c>
      <c r="D19" s="16" cm="1">
        <f t="array" ref="D19">IFERROR(IF(ISNUMBER(INDEX('⚙ Setup'!$B:$B,ROW()-2)),INDEX('⚙ Setup'!$B:$B,ROW()-2),0),0)</f>
        <v>0</v>
      </c>
      <c r="E19" s="43">
        <f t="shared" si="0"/>
        <v>-610</v>
      </c>
      <c r="F19" s="3"/>
      <c r="G19" s="3"/>
      <c r="H19" s="3"/>
      <c r="I19" s="3"/>
    </row>
    <row r="20" spans="1:9" ht="15" customHeight="1" x14ac:dyDescent="0.35">
      <c r="A20" s="37" t="s">
        <v>17</v>
      </c>
      <c r="B20" s="38"/>
      <c r="C20" s="22">
        <v>195</v>
      </c>
      <c r="D20" s="22" cm="1">
        <f t="array" ref="D20">IFERROR(IF(ISNUMBER(INDEX('⚙ Setup'!$B:$B,ROW()-2)),INDEX('⚙ Setup'!$B:$B,ROW()-2),0),0)</f>
        <v>0</v>
      </c>
      <c r="E20" s="44">
        <f t="shared" si="0"/>
        <v>-195</v>
      </c>
      <c r="F20" s="3"/>
      <c r="G20" s="3"/>
      <c r="H20" s="3"/>
      <c r="I20" s="3"/>
    </row>
    <row r="21" spans="1:9" ht="15" customHeight="1" x14ac:dyDescent="0.35">
      <c r="A21" s="34" t="s">
        <v>18</v>
      </c>
      <c r="B21" s="35"/>
      <c r="C21" s="16">
        <v>250</v>
      </c>
      <c r="D21" s="16" cm="1">
        <f t="array" ref="D21">IFERROR(IF(ISNUMBER(INDEX('⚙ Setup'!$B:$B,ROW()-2)),INDEX('⚙ Setup'!$B:$B,ROW()-2),0),0)</f>
        <v>0</v>
      </c>
      <c r="E21" s="43">
        <f t="shared" si="0"/>
        <v>-250</v>
      </c>
      <c r="F21" s="3"/>
      <c r="G21" s="3"/>
      <c r="H21" s="3"/>
      <c r="I21" s="3"/>
    </row>
    <row r="22" spans="1:9" ht="15" customHeight="1" x14ac:dyDescent="0.35">
      <c r="A22" s="37" t="s">
        <v>19</v>
      </c>
      <c r="B22" s="38"/>
      <c r="C22" s="22">
        <v>0</v>
      </c>
      <c r="D22" s="22" cm="1">
        <f t="array" ref="D22">IFERROR(IF(ISNUMBER(INDEX('⚙ Setup'!$B:$B,ROW()-2)),INDEX('⚙ Setup'!$B:$B,ROW()-2),0),0)</f>
        <v>0</v>
      </c>
      <c r="E22" s="44">
        <f t="shared" si="0"/>
        <v>0</v>
      </c>
      <c r="F22" s="3"/>
      <c r="G22" s="3"/>
      <c r="H22" s="3"/>
      <c r="I22" s="3"/>
    </row>
    <row r="23" spans="1:9" ht="15" customHeight="1" x14ac:dyDescent="0.35">
      <c r="A23" s="34" t="s">
        <v>20</v>
      </c>
      <c r="B23" s="35"/>
      <c r="C23" s="16">
        <v>80</v>
      </c>
      <c r="D23" s="16" cm="1">
        <f t="array" ref="D23">IFERROR(IF(ISNUMBER(INDEX('⚙ Setup'!$B:$B,ROW()-2)),INDEX('⚙ Setup'!$B:$B,ROW()-2),0),0)</f>
        <v>0</v>
      </c>
      <c r="E23" s="43">
        <f t="shared" si="0"/>
        <v>-80</v>
      </c>
      <c r="F23" s="3"/>
      <c r="G23" s="3"/>
      <c r="H23" s="3"/>
      <c r="I23" s="3"/>
    </row>
    <row r="24" spans="1:9" ht="15" customHeight="1" x14ac:dyDescent="0.35">
      <c r="A24" s="37" t="s">
        <v>21</v>
      </c>
      <c r="B24" s="38"/>
      <c r="C24" s="22">
        <v>120</v>
      </c>
      <c r="D24" s="22" cm="1">
        <f t="array" ref="D24">IFERROR(IF(ISNUMBER(INDEX('⚙ Setup'!$B:$B,ROW()-2)),INDEX('⚙ Setup'!$B:$B,ROW()-2),0),0)</f>
        <v>0</v>
      </c>
      <c r="E24" s="44">
        <f t="shared" si="0"/>
        <v>-120</v>
      </c>
      <c r="F24" s="3"/>
      <c r="G24" s="3"/>
      <c r="H24" s="3"/>
      <c r="I24" s="3"/>
    </row>
    <row r="25" spans="1:9" ht="15" customHeight="1" x14ac:dyDescent="0.35">
      <c r="A25" s="34" t="s">
        <v>22</v>
      </c>
      <c r="B25" s="35"/>
      <c r="C25" s="16">
        <v>60</v>
      </c>
      <c r="D25" s="16" cm="1">
        <f t="array" ref="D25">IFERROR(IF(ISNUMBER(INDEX('⚙ Setup'!$B:$B,ROW()-2)),INDEX('⚙ Setup'!$B:$B,ROW()-2),0),0)</f>
        <v>0</v>
      </c>
      <c r="E25" s="43">
        <f t="shared" si="0"/>
        <v>-60</v>
      </c>
      <c r="F25" s="3"/>
      <c r="G25" s="3"/>
      <c r="H25" s="3"/>
      <c r="I25" s="3"/>
    </row>
    <row r="26" spans="1:9" ht="15" customHeight="1" x14ac:dyDescent="0.35">
      <c r="A26" s="37" t="s">
        <v>23</v>
      </c>
      <c r="B26" s="38"/>
      <c r="C26" s="22">
        <v>0</v>
      </c>
      <c r="D26" s="22" cm="1">
        <f t="array" ref="D26">IFERROR(IF(ISNUMBER(INDEX('⚙ Setup'!$B:$B,ROW()-2)),INDEX('⚙ Setup'!$B:$B,ROW()-2),0),0)</f>
        <v>0</v>
      </c>
      <c r="E26" s="44">
        <f t="shared" si="0"/>
        <v>0</v>
      </c>
      <c r="F26" s="3"/>
      <c r="G26" s="3"/>
      <c r="H26" s="3"/>
      <c r="I26" s="3"/>
    </row>
    <row r="27" spans="1:9" ht="15" customHeight="1" x14ac:dyDescent="0.35">
      <c r="A27" s="34" t="s">
        <v>24</v>
      </c>
      <c r="B27" s="35"/>
      <c r="C27" s="16">
        <v>75</v>
      </c>
      <c r="D27" s="16" cm="1">
        <f t="array" ref="D27">IFERROR(IF(ISNUMBER(INDEX('⚙ Setup'!$B:$B,ROW()-2)),INDEX('⚙ Setup'!$B:$B,ROW()-2),0),0)</f>
        <v>0</v>
      </c>
      <c r="E27" s="43">
        <f t="shared" si="0"/>
        <v>-75</v>
      </c>
      <c r="F27" s="3"/>
      <c r="G27" s="3"/>
      <c r="H27" s="3"/>
      <c r="I27" s="3"/>
    </row>
    <row r="28" spans="1:9" ht="15" customHeight="1" x14ac:dyDescent="0.35">
      <c r="A28" s="37" t="s">
        <v>25</v>
      </c>
      <c r="B28" s="38"/>
      <c r="C28" s="22">
        <v>0</v>
      </c>
      <c r="D28" s="22" cm="1">
        <f t="array" ref="D28">IFERROR(IF(ISNUMBER(INDEX('⚙ Setup'!$B:$B,ROW()-2)),INDEX('⚙ Setup'!$B:$B,ROW()-2),0),0)</f>
        <v>0</v>
      </c>
      <c r="E28" s="44">
        <f t="shared" si="0"/>
        <v>0</v>
      </c>
      <c r="F28" s="3"/>
      <c r="G28" s="3"/>
      <c r="H28" s="3"/>
      <c r="I28" s="3"/>
    </row>
    <row r="29" spans="1:9" ht="15" customHeight="1" x14ac:dyDescent="0.35">
      <c r="A29" s="34" t="s">
        <v>26</v>
      </c>
      <c r="B29" s="35"/>
      <c r="C29" s="16">
        <v>30</v>
      </c>
      <c r="D29" s="16" cm="1">
        <f t="array" ref="D29">IFERROR(IF(ISNUMBER(INDEX('⚙ Setup'!$B:$B,ROW()-2)),INDEX('⚙ Setup'!$B:$B,ROW()-2),0),0)</f>
        <v>0</v>
      </c>
      <c r="E29" s="43">
        <f t="shared" si="0"/>
        <v>-30</v>
      </c>
      <c r="F29" s="3"/>
      <c r="G29" s="3"/>
      <c r="H29" s="3"/>
      <c r="I29" s="3"/>
    </row>
    <row r="30" spans="1:9" ht="15" customHeight="1" x14ac:dyDescent="0.35">
      <c r="A30" s="37" t="s">
        <v>27</v>
      </c>
      <c r="B30" s="38"/>
      <c r="C30" s="22">
        <v>0</v>
      </c>
      <c r="D30" s="22" cm="1">
        <f t="array" ref="D30">IFERROR(IF(ISNUMBER(INDEX('⚙ Setup'!$B:$B,ROW()-2)),INDEX('⚙ Setup'!$B:$B,ROW()-2),0),0)</f>
        <v>0</v>
      </c>
      <c r="E30" s="44">
        <f t="shared" si="0"/>
        <v>0</v>
      </c>
      <c r="F30" s="3"/>
      <c r="G30" s="3"/>
      <c r="H30" s="3"/>
      <c r="I30" s="3"/>
    </row>
    <row r="31" spans="1:9" ht="15" customHeight="1" x14ac:dyDescent="0.35">
      <c r="A31" s="34" t="s">
        <v>28</v>
      </c>
      <c r="B31" s="35"/>
      <c r="C31" s="16">
        <v>60</v>
      </c>
      <c r="D31" s="16" cm="1">
        <f t="array" ref="D31">IFERROR(IF(ISNUMBER(INDEX('⚙ Setup'!$B:$B,ROW()-2)),INDEX('⚙ Setup'!$B:$B,ROW()-2),0),0)</f>
        <v>0</v>
      </c>
      <c r="E31" s="43">
        <f t="shared" si="0"/>
        <v>-60</v>
      </c>
      <c r="F31" s="3"/>
      <c r="G31" s="3"/>
      <c r="H31" s="3"/>
      <c r="I31" s="3"/>
    </row>
    <row r="32" spans="1:9" ht="15" customHeight="1" x14ac:dyDescent="0.35">
      <c r="A32" s="45" t="s">
        <v>31</v>
      </c>
      <c r="B32" s="3"/>
      <c r="C32" s="46">
        <f>SUM(C17:C31)</f>
        <v>3330</v>
      </c>
      <c r="D32" s="42">
        <f>SUM(D17:D31)</f>
        <v>0</v>
      </c>
      <c r="E32" s="3"/>
      <c r="F32" s="3"/>
      <c r="G32" s="3"/>
      <c r="H32" s="3"/>
      <c r="I32" s="3"/>
    </row>
    <row r="33" spans="1:9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35">
      <c r="A34" s="47" t="s">
        <v>73</v>
      </c>
      <c r="B34" s="3"/>
      <c r="C34" s="48">
        <f>C13-C32</f>
        <v>1720</v>
      </c>
      <c r="D34" s="3"/>
      <c r="E34" s="3"/>
      <c r="F34" s="3"/>
      <c r="G34" s="3"/>
      <c r="H34" s="3"/>
      <c r="I34" s="3"/>
    </row>
    <row r="35" spans="1: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</row>
    <row r="36" spans="1:9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</row>
    <row r="38" spans="1: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</row>
    <row r="40" spans="1:9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</row>
    <row r="41" spans="1:9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</row>
    <row r="43" spans="1: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</row>
    <row r="45" spans="1: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</row>
    <row r="46" spans="1: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</row>
    <row r="47" spans="1: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</row>
    <row r="48" spans="1:9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</row>
    <row r="49" spans="1: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</row>
    <row r="52" spans="1:9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</row>
    <row r="53" spans="1:9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</row>
    <row r="54" spans="1:9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</row>
    <row r="55" spans="1:9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</row>
    <row r="56" spans="1:9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</row>
    <row r="57" spans="1:9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</row>
    <row r="58" spans="1:9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</row>
    <row r="59" spans="1:9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A1:I5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E1"/>
    </sheetView>
  </sheetViews>
  <sheetFormatPr baseColWidth="10" defaultColWidth="8.6328125" defaultRowHeight="14.5" x14ac:dyDescent="0.35"/>
  <cols>
    <col min="1" max="1" width="26" customWidth="1"/>
    <col min="2" max="2" width="18" customWidth="1"/>
    <col min="3" max="5" width="15" customWidth="1"/>
  </cols>
  <sheetData>
    <row r="1" spans="1:9" ht="27.75" customHeight="1" x14ac:dyDescent="0.35">
      <c r="A1" s="180" t="str">
        <f>"📅 MAR "&amp;'⚙ Setup'!$B$10&amp;"  ·  Monthly Budget"</f>
        <v>📅 MAR 2026  ·  Monthly Budget</v>
      </c>
      <c r="B1" s="180"/>
      <c r="C1" s="180"/>
      <c r="D1" s="180"/>
      <c r="E1" s="180"/>
      <c r="F1" s="3"/>
      <c r="G1" s="3"/>
      <c r="H1" s="3"/>
      <c r="I1" s="3"/>
    </row>
    <row r="2" spans="1:9" ht="15" customHeight="1" x14ac:dyDescent="0.35">
      <c r="A2" s="2" t="s">
        <v>56</v>
      </c>
      <c r="B2" s="3"/>
      <c r="C2" s="2" t="s">
        <v>57</v>
      </c>
      <c r="D2" s="3"/>
      <c r="E2" s="2" t="s">
        <v>58</v>
      </c>
      <c r="F2" s="3"/>
      <c r="G2" s="3"/>
      <c r="H2" s="3"/>
      <c r="I2" s="3"/>
    </row>
    <row r="3" spans="1:9" ht="18" customHeight="1" x14ac:dyDescent="0.35">
      <c r="A3" s="29">
        <f>C4</f>
        <v>5050</v>
      </c>
      <c r="B3" s="3"/>
      <c r="C3" s="30">
        <f>C5</f>
        <v>3560</v>
      </c>
      <c r="D3" s="3"/>
      <c r="E3" s="31">
        <f>C4-C5</f>
        <v>1490</v>
      </c>
      <c r="F3" s="3"/>
      <c r="G3" s="3"/>
      <c r="H3" s="3"/>
      <c r="I3" s="3"/>
    </row>
    <row r="4" spans="1:9" ht="1.5" customHeight="1" x14ac:dyDescent="0.35">
      <c r="A4" s="3"/>
      <c r="B4" s="32" t="s">
        <v>59</v>
      </c>
      <c r="C4" s="32">
        <f>IFERROR(C13,0)</f>
        <v>5050</v>
      </c>
      <c r="D4" s="3"/>
      <c r="E4" s="3"/>
      <c r="F4" s="3"/>
      <c r="G4" s="3"/>
      <c r="H4" s="3"/>
      <c r="I4" s="3"/>
    </row>
    <row r="5" spans="1:9" ht="1.5" customHeight="1" x14ac:dyDescent="0.35">
      <c r="A5" s="3"/>
      <c r="B5" s="32" t="s">
        <v>60</v>
      </c>
      <c r="C5" s="32">
        <f>IFERROR(C32,0)</f>
        <v>3560</v>
      </c>
      <c r="D5" s="3"/>
      <c r="E5" s="3"/>
      <c r="F5" s="3"/>
      <c r="G5" s="3"/>
      <c r="H5" s="3"/>
      <c r="I5" s="3"/>
    </row>
    <row r="6" spans="1:9" ht="24" customHeight="1" x14ac:dyDescent="0.35">
      <c r="A6" s="5" t="s">
        <v>38</v>
      </c>
      <c r="B6" s="3"/>
      <c r="C6" s="3"/>
      <c r="D6" s="3"/>
      <c r="E6" s="3"/>
      <c r="F6" s="3"/>
      <c r="G6" s="3"/>
      <c r="H6" s="3"/>
      <c r="I6" s="3"/>
    </row>
    <row r="7" spans="1:9" ht="15" customHeight="1" x14ac:dyDescent="0.35">
      <c r="A7" s="33" t="s">
        <v>61</v>
      </c>
      <c r="B7" s="33" t="s">
        <v>62</v>
      </c>
      <c r="C7" s="33" t="s">
        <v>63</v>
      </c>
      <c r="D7" s="33" t="s">
        <v>64</v>
      </c>
      <c r="E7" s="33" t="s">
        <v>65</v>
      </c>
      <c r="F7" s="3"/>
      <c r="G7" s="3"/>
      <c r="H7" s="3"/>
      <c r="I7" s="3"/>
    </row>
    <row r="8" spans="1:9" ht="15" customHeight="1" x14ac:dyDescent="0.35">
      <c r="A8" s="34" t="s">
        <v>66</v>
      </c>
      <c r="B8" s="35"/>
      <c r="C8" s="16">
        <f>IFERROR('⚙ Setup'!$B$7,0)</f>
        <v>5000</v>
      </c>
      <c r="D8" s="16">
        <f>IFERROR(IF(ISNUMBER('⚙ Setup'!$B$7),'⚙ Setup'!$B$7,0),0)</f>
        <v>5000</v>
      </c>
      <c r="E8" s="36">
        <f>C8-D8</f>
        <v>0</v>
      </c>
      <c r="F8" s="3"/>
      <c r="G8" s="3"/>
      <c r="H8" s="3"/>
      <c r="I8" s="3"/>
    </row>
    <row r="9" spans="1:9" ht="15" customHeight="1" x14ac:dyDescent="0.35">
      <c r="A9" s="37" t="s">
        <v>67</v>
      </c>
      <c r="B9" s="38"/>
      <c r="C9" s="22">
        <v>0</v>
      </c>
      <c r="D9" s="22">
        <v>0</v>
      </c>
      <c r="E9" s="39">
        <f>C9-D9</f>
        <v>0</v>
      </c>
      <c r="F9" s="3"/>
      <c r="G9" s="3"/>
      <c r="H9" s="3"/>
      <c r="I9" s="3"/>
    </row>
    <row r="10" spans="1:9" ht="15" customHeight="1" x14ac:dyDescent="0.35">
      <c r="A10" s="34" t="s">
        <v>68</v>
      </c>
      <c r="B10" s="35"/>
      <c r="C10" s="16">
        <v>0</v>
      </c>
      <c r="D10" s="16">
        <v>200</v>
      </c>
      <c r="E10" s="36">
        <f>C10-D10</f>
        <v>-200</v>
      </c>
      <c r="F10" s="3"/>
      <c r="G10" s="3"/>
      <c r="H10" s="3"/>
      <c r="I10" s="3"/>
    </row>
    <row r="11" spans="1:9" ht="15" customHeight="1" x14ac:dyDescent="0.35">
      <c r="A11" s="37" t="s">
        <v>69</v>
      </c>
      <c r="B11" s="38"/>
      <c r="C11" s="22">
        <v>50</v>
      </c>
      <c r="D11" s="22">
        <v>50</v>
      </c>
      <c r="E11" s="39">
        <f>C11-D11</f>
        <v>0</v>
      </c>
      <c r="F11" s="3"/>
      <c r="G11" s="3"/>
      <c r="H11" s="3"/>
      <c r="I11" s="3"/>
    </row>
    <row r="12" spans="1:9" ht="15" customHeight="1" x14ac:dyDescent="0.35">
      <c r="A12" s="34" t="s">
        <v>70</v>
      </c>
      <c r="B12" s="35"/>
      <c r="C12" s="16">
        <v>0</v>
      </c>
      <c r="D12" s="16">
        <v>0</v>
      </c>
      <c r="E12" s="36">
        <f>C12-D12</f>
        <v>0</v>
      </c>
      <c r="F12" s="3"/>
      <c r="G12" s="3"/>
      <c r="H12" s="3"/>
      <c r="I12" s="3"/>
    </row>
    <row r="13" spans="1:9" ht="15" customHeight="1" x14ac:dyDescent="0.35">
      <c r="A13" s="40" t="s">
        <v>30</v>
      </c>
      <c r="B13" s="3"/>
      <c r="C13" s="41">
        <f>SUM(C8:C12)</f>
        <v>5050</v>
      </c>
      <c r="D13" s="42">
        <f>SUM(D8:D12)</f>
        <v>5250</v>
      </c>
      <c r="E13" s="3"/>
      <c r="F13" s="3"/>
      <c r="G13" s="3"/>
      <c r="H13" s="3"/>
      <c r="I13" s="3"/>
    </row>
    <row r="14" spans="1:9" ht="15" customHeight="1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9" ht="24" customHeight="1" x14ac:dyDescent="0.35">
      <c r="A15" s="5" t="s">
        <v>39</v>
      </c>
      <c r="B15" s="3"/>
      <c r="C15" s="3"/>
      <c r="D15" s="3"/>
      <c r="E15" s="3"/>
      <c r="F15" s="3"/>
      <c r="G15" s="3"/>
      <c r="H15" s="3"/>
      <c r="I15" s="3"/>
    </row>
    <row r="16" spans="1:9" ht="15" customHeight="1" x14ac:dyDescent="0.35">
      <c r="A16" s="33" t="s">
        <v>71</v>
      </c>
      <c r="B16" s="33" t="s">
        <v>62</v>
      </c>
      <c r="C16" s="33" t="s">
        <v>72</v>
      </c>
      <c r="D16" s="33" t="s">
        <v>64</v>
      </c>
      <c r="E16" s="33" t="s">
        <v>65</v>
      </c>
      <c r="F16" s="3"/>
      <c r="G16" s="3"/>
      <c r="H16" s="3"/>
      <c r="I16" s="3"/>
    </row>
    <row r="17" spans="1:9" ht="15" customHeight="1" x14ac:dyDescent="0.35">
      <c r="A17" s="34" t="s">
        <v>13</v>
      </c>
      <c r="B17" s="35"/>
      <c r="C17" s="16">
        <v>1500</v>
      </c>
      <c r="D17" s="16" cm="1">
        <f t="array" ref="D17">IFERROR(IF(ISNUMBER(INDEX('⚙ Setup'!$B:$B,ROW()-2)),INDEX('⚙ Setup'!$B:$B,ROW()-2),0),0)</f>
        <v>0</v>
      </c>
      <c r="E17" s="43">
        <f t="shared" ref="E17:E31" si="0">D17-C17</f>
        <v>-1500</v>
      </c>
      <c r="F17" s="3"/>
      <c r="G17" s="3"/>
      <c r="H17" s="3"/>
      <c r="I17" s="3"/>
    </row>
    <row r="18" spans="1:9" ht="15" customHeight="1" x14ac:dyDescent="0.35">
      <c r="A18" s="37" t="s">
        <v>15</v>
      </c>
      <c r="B18" s="38"/>
      <c r="C18" s="22">
        <v>350</v>
      </c>
      <c r="D18" s="22" cm="1">
        <f t="array" ref="D18">IFERROR(IF(ISNUMBER(INDEX('⚙ Setup'!$B:$B,ROW()-2)),INDEX('⚙ Setup'!$B:$B,ROW()-2),0),0)</f>
        <v>0</v>
      </c>
      <c r="E18" s="44">
        <f t="shared" si="0"/>
        <v>-350</v>
      </c>
      <c r="F18" s="3"/>
      <c r="G18" s="3"/>
      <c r="H18" s="3"/>
      <c r="I18" s="3"/>
    </row>
    <row r="19" spans="1:9" ht="15" customHeight="1" x14ac:dyDescent="0.35">
      <c r="A19" s="34" t="s">
        <v>16</v>
      </c>
      <c r="B19" s="35"/>
      <c r="C19" s="16">
        <v>590</v>
      </c>
      <c r="D19" s="16" cm="1">
        <f t="array" ref="D19">IFERROR(IF(ISNUMBER(INDEX('⚙ Setup'!$B:$B,ROW()-2)),INDEX('⚙ Setup'!$B:$B,ROW()-2),0),0)</f>
        <v>0</v>
      </c>
      <c r="E19" s="43">
        <f t="shared" si="0"/>
        <v>-590</v>
      </c>
      <c r="F19" s="3"/>
      <c r="G19" s="3"/>
      <c r="H19" s="3"/>
      <c r="I19" s="3"/>
    </row>
    <row r="20" spans="1:9" ht="15" customHeight="1" x14ac:dyDescent="0.35">
      <c r="A20" s="37" t="s">
        <v>17</v>
      </c>
      <c r="B20" s="38"/>
      <c r="C20" s="22">
        <v>175</v>
      </c>
      <c r="D20" s="22" cm="1">
        <f t="array" ref="D20">IFERROR(IF(ISNUMBER(INDEX('⚙ Setup'!$B:$B,ROW()-2)),INDEX('⚙ Setup'!$B:$B,ROW()-2),0),0)</f>
        <v>0</v>
      </c>
      <c r="E20" s="44">
        <f t="shared" si="0"/>
        <v>-175</v>
      </c>
      <c r="F20" s="3"/>
      <c r="G20" s="3"/>
      <c r="H20" s="3"/>
      <c r="I20" s="3"/>
    </row>
    <row r="21" spans="1:9" ht="15" customHeight="1" x14ac:dyDescent="0.35">
      <c r="A21" s="34" t="s">
        <v>18</v>
      </c>
      <c r="B21" s="35"/>
      <c r="C21" s="16">
        <v>250</v>
      </c>
      <c r="D21" s="16" cm="1">
        <f t="array" ref="D21">IFERROR(IF(ISNUMBER(INDEX('⚙ Setup'!$B:$B,ROW()-2)),INDEX('⚙ Setup'!$B:$B,ROW()-2),0),0)</f>
        <v>0</v>
      </c>
      <c r="E21" s="43">
        <f t="shared" si="0"/>
        <v>-250</v>
      </c>
      <c r="F21" s="3"/>
      <c r="G21" s="3"/>
      <c r="H21" s="3"/>
      <c r="I21" s="3"/>
    </row>
    <row r="22" spans="1:9" ht="15" customHeight="1" x14ac:dyDescent="0.35">
      <c r="A22" s="37" t="s">
        <v>19</v>
      </c>
      <c r="B22" s="38"/>
      <c r="C22" s="22">
        <v>100</v>
      </c>
      <c r="D22" s="22" cm="1">
        <f t="array" ref="D22">IFERROR(IF(ISNUMBER(INDEX('⚙ Setup'!$B:$B,ROW()-2)),INDEX('⚙ Setup'!$B:$B,ROW()-2),0),0)</f>
        <v>0</v>
      </c>
      <c r="E22" s="44">
        <f t="shared" si="0"/>
        <v>-100</v>
      </c>
      <c r="F22" s="3"/>
      <c r="G22" s="3"/>
      <c r="H22" s="3"/>
      <c r="I22" s="3"/>
    </row>
    <row r="23" spans="1:9" ht="15" customHeight="1" x14ac:dyDescent="0.35">
      <c r="A23" s="34" t="s">
        <v>20</v>
      </c>
      <c r="B23" s="35"/>
      <c r="C23" s="16">
        <v>100</v>
      </c>
      <c r="D23" s="16" cm="1">
        <f t="array" ref="D23">IFERROR(IF(ISNUMBER(INDEX('⚙ Setup'!$B:$B,ROW()-2)),INDEX('⚙ Setup'!$B:$B,ROW()-2),0),0)</f>
        <v>0</v>
      </c>
      <c r="E23" s="43">
        <f t="shared" si="0"/>
        <v>-100</v>
      </c>
      <c r="F23" s="3"/>
      <c r="G23" s="3"/>
      <c r="H23" s="3"/>
      <c r="I23" s="3"/>
    </row>
    <row r="24" spans="1:9" ht="15" customHeight="1" x14ac:dyDescent="0.35">
      <c r="A24" s="37" t="s">
        <v>21</v>
      </c>
      <c r="B24" s="38"/>
      <c r="C24" s="22">
        <v>80</v>
      </c>
      <c r="D24" s="22" cm="1">
        <f t="array" ref="D24">IFERROR(IF(ISNUMBER(INDEX('⚙ Setup'!$B:$B,ROW()-2)),INDEX('⚙ Setup'!$B:$B,ROW()-2),0),0)</f>
        <v>0</v>
      </c>
      <c r="E24" s="44">
        <f t="shared" si="0"/>
        <v>-80</v>
      </c>
      <c r="F24" s="3"/>
      <c r="G24" s="3"/>
      <c r="H24" s="3"/>
      <c r="I24" s="3"/>
    </row>
    <row r="25" spans="1:9" ht="15" customHeight="1" x14ac:dyDescent="0.35">
      <c r="A25" s="34" t="s">
        <v>22</v>
      </c>
      <c r="B25" s="35"/>
      <c r="C25" s="16">
        <v>60</v>
      </c>
      <c r="D25" s="16" cm="1">
        <f t="array" ref="D25">IFERROR(IF(ISNUMBER(INDEX('⚙ Setup'!$B:$B,ROW()-2)),INDEX('⚙ Setup'!$B:$B,ROW()-2),0),0)</f>
        <v>0</v>
      </c>
      <c r="E25" s="43">
        <f t="shared" si="0"/>
        <v>-60</v>
      </c>
      <c r="F25" s="3"/>
      <c r="G25" s="3"/>
      <c r="H25" s="3"/>
      <c r="I25" s="3"/>
    </row>
    <row r="26" spans="1:9" ht="15" customHeight="1" x14ac:dyDescent="0.35">
      <c r="A26" s="37" t="s">
        <v>23</v>
      </c>
      <c r="B26" s="38"/>
      <c r="C26" s="22">
        <v>0</v>
      </c>
      <c r="D26" s="22" cm="1">
        <f t="array" ref="D26">IFERROR(IF(ISNUMBER(INDEX('⚙ Setup'!$B:$B,ROW()-2)),INDEX('⚙ Setup'!$B:$B,ROW()-2),0),0)</f>
        <v>0</v>
      </c>
      <c r="E26" s="44">
        <f t="shared" si="0"/>
        <v>0</v>
      </c>
      <c r="F26" s="3"/>
      <c r="G26" s="3"/>
      <c r="H26" s="3"/>
      <c r="I26" s="3"/>
    </row>
    <row r="27" spans="1:9" ht="15" customHeight="1" x14ac:dyDescent="0.35">
      <c r="A27" s="34" t="s">
        <v>24</v>
      </c>
      <c r="B27" s="35"/>
      <c r="C27" s="16">
        <v>75</v>
      </c>
      <c r="D27" s="16" cm="1">
        <f t="array" ref="D27">IFERROR(IF(ISNUMBER(INDEX('⚙ Setup'!$B:$B,ROW()-2)),INDEX('⚙ Setup'!$B:$B,ROW()-2),0),0)</f>
        <v>0</v>
      </c>
      <c r="E27" s="43">
        <f t="shared" si="0"/>
        <v>-75</v>
      </c>
      <c r="F27" s="3"/>
      <c r="G27" s="3"/>
      <c r="H27" s="3"/>
      <c r="I27" s="3"/>
    </row>
    <row r="28" spans="1:9" ht="15" customHeight="1" x14ac:dyDescent="0.35">
      <c r="A28" s="37" t="s">
        <v>25</v>
      </c>
      <c r="B28" s="38"/>
      <c r="C28" s="22">
        <v>0</v>
      </c>
      <c r="D28" s="22" cm="1">
        <f t="array" ref="D28">IFERROR(IF(ISNUMBER(INDEX('⚙ Setup'!$B:$B,ROW()-2)),INDEX('⚙ Setup'!$B:$B,ROW()-2),0),0)</f>
        <v>0</v>
      </c>
      <c r="E28" s="44">
        <f t="shared" si="0"/>
        <v>0</v>
      </c>
      <c r="F28" s="3"/>
      <c r="G28" s="3"/>
      <c r="H28" s="3"/>
      <c r="I28" s="3"/>
    </row>
    <row r="29" spans="1:9" ht="15" customHeight="1" x14ac:dyDescent="0.35">
      <c r="A29" s="34" t="s">
        <v>26</v>
      </c>
      <c r="B29" s="35"/>
      <c r="C29" s="16">
        <v>50</v>
      </c>
      <c r="D29" s="16" cm="1">
        <f t="array" ref="D29">IFERROR(IF(ISNUMBER(INDEX('⚙ Setup'!$B:$B,ROW()-2)),INDEX('⚙ Setup'!$B:$B,ROW()-2),0),0)</f>
        <v>0</v>
      </c>
      <c r="E29" s="43">
        <f t="shared" si="0"/>
        <v>-50</v>
      </c>
      <c r="F29" s="3"/>
      <c r="G29" s="3"/>
      <c r="H29" s="3"/>
      <c r="I29" s="3"/>
    </row>
    <row r="30" spans="1:9" ht="15" customHeight="1" x14ac:dyDescent="0.35">
      <c r="A30" s="37" t="s">
        <v>27</v>
      </c>
      <c r="B30" s="38"/>
      <c r="C30" s="22">
        <v>150</v>
      </c>
      <c r="D30" s="22" cm="1">
        <f t="array" ref="D30">IFERROR(IF(ISNUMBER(INDEX('⚙ Setup'!$B:$B,ROW()-2)),INDEX('⚙ Setup'!$B:$B,ROW()-2),0),0)</f>
        <v>0</v>
      </c>
      <c r="E30" s="44">
        <f t="shared" si="0"/>
        <v>-150</v>
      </c>
      <c r="F30" s="3"/>
      <c r="G30" s="3"/>
      <c r="H30" s="3"/>
      <c r="I30" s="3"/>
    </row>
    <row r="31" spans="1:9" ht="15" customHeight="1" x14ac:dyDescent="0.35">
      <c r="A31" s="34" t="s">
        <v>28</v>
      </c>
      <c r="B31" s="35"/>
      <c r="C31" s="16">
        <v>80</v>
      </c>
      <c r="D31" s="16" cm="1">
        <f t="array" ref="D31">IFERROR(IF(ISNUMBER(INDEX('⚙ Setup'!$B:$B,ROW()-2)),INDEX('⚙ Setup'!$B:$B,ROW()-2),0),0)</f>
        <v>0</v>
      </c>
      <c r="E31" s="43">
        <f t="shared" si="0"/>
        <v>-80</v>
      </c>
      <c r="F31" s="3"/>
      <c r="G31" s="3"/>
      <c r="H31" s="3"/>
      <c r="I31" s="3"/>
    </row>
    <row r="32" spans="1:9" ht="15" customHeight="1" x14ac:dyDescent="0.35">
      <c r="A32" s="45" t="s">
        <v>31</v>
      </c>
      <c r="B32" s="3"/>
      <c r="C32" s="46">
        <f>SUM(C17:C31)</f>
        <v>3560</v>
      </c>
      <c r="D32" s="42">
        <f>SUM(D17:D31)</f>
        <v>0</v>
      </c>
      <c r="E32" s="3"/>
      <c r="F32" s="3"/>
      <c r="G32" s="3"/>
      <c r="H32" s="3"/>
      <c r="I32" s="3"/>
    </row>
    <row r="33" spans="1:9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35">
      <c r="A34" s="47" t="s">
        <v>73</v>
      </c>
      <c r="B34" s="3"/>
      <c r="C34" s="48">
        <f>C13-C32</f>
        <v>1490</v>
      </c>
      <c r="D34" s="3"/>
      <c r="E34" s="3"/>
      <c r="F34" s="3"/>
      <c r="G34" s="3"/>
      <c r="H34" s="3"/>
      <c r="I34" s="3"/>
    </row>
    <row r="35" spans="1: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</row>
    <row r="36" spans="1:9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</row>
    <row r="38" spans="1: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</row>
    <row r="40" spans="1:9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</row>
    <row r="41" spans="1:9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</row>
    <row r="43" spans="1: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</row>
    <row r="45" spans="1: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</row>
    <row r="46" spans="1: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</row>
    <row r="47" spans="1: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</row>
    <row r="48" spans="1:9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</row>
    <row r="49" spans="1: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</row>
    <row r="52" spans="1:9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</row>
    <row r="53" spans="1:9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</row>
    <row r="54" spans="1:9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</row>
    <row r="55" spans="1:9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</row>
    <row r="56" spans="1:9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</row>
    <row r="57" spans="1:9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</row>
    <row r="58" spans="1:9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</row>
    <row r="59" spans="1:9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9E0B"/>
  </sheetPr>
  <dimension ref="A1:I5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E1"/>
    </sheetView>
  </sheetViews>
  <sheetFormatPr baseColWidth="10" defaultColWidth="8.6328125" defaultRowHeight="14.5" x14ac:dyDescent="0.35"/>
  <cols>
    <col min="1" max="1" width="26" customWidth="1"/>
    <col min="2" max="2" width="18" customWidth="1"/>
    <col min="3" max="5" width="15" customWidth="1"/>
  </cols>
  <sheetData>
    <row r="1" spans="1:9" ht="27.75" customHeight="1" x14ac:dyDescent="0.35">
      <c r="A1" s="180" t="str">
        <f>"📅 APR "&amp;'⚙ Setup'!$B$10&amp;"  ·  Monthly Budget"</f>
        <v>📅 APR 2026  ·  Monthly Budget</v>
      </c>
      <c r="B1" s="180"/>
      <c r="C1" s="180"/>
      <c r="D1" s="180"/>
      <c r="E1" s="180"/>
      <c r="F1" s="3"/>
      <c r="G1" s="3"/>
      <c r="H1" s="3"/>
      <c r="I1" s="3"/>
    </row>
    <row r="2" spans="1:9" ht="15" customHeight="1" x14ac:dyDescent="0.35">
      <c r="A2" s="2" t="s">
        <v>56</v>
      </c>
      <c r="B2" s="3"/>
      <c r="C2" s="2" t="s">
        <v>57</v>
      </c>
      <c r="D2" s="3"/>
      <c r="E2" s="2" t="s">
        <v>58</v>
      </c>
      <c r="F2" s="3"/>
      <c r="G2" s="3"/>
      <c r="H2" s="3"/>
      <c r="I2" s="3"/>
    </row>
    <row r="3" spans="1:9" ht="18" customHeight="1" x14ac:dyDescent="0.35">
      <c r="A3" s="29">
        <f>C4</f>
        <v>5580</v>
      </c>
      <c r="B3" s="3"/>
      <c r="C3" s="30">
        <f>C5</f>
        <v>3685</v>
      </c>
      <c r="D3" s="3"/>
      <c r="E3" s="31">
        <f>C4-C5</f>
        <v>1895</v>
      </c>
      <c r="F3" s="3"/>
      <c r="G3" s="3"/>
      <c r="H3" s="3"/>
      <c r="I3" s="3"/>
    </row>
    <row r="4" spans="1:9" ht="1.5" customHeight="1" x14ac:dyDescent="0.35">
      <c r="A4" s="3"/>
      <c r="B4" s="32" t="s">
        <v>59</v>
      </c>
      <c r="C4" s="32">
        <f>IFERROR(C13,0)</f>
        <v>5580</v>
      </c>
      <c r="D4" s="3"/>
      <c r="E4" s="3"/>
      <c r="F4" s="3"/>
      <c r="G4" s="3"/>
      <c r="H4" s="3"/>
      <c r="I4" s="3"/>
    </row>
    <row r="5" spans="1:9" ht="1.5" customHeight="1" x14ac:dyDescent="0.35">
      <c r="A5" s="3"/>
      <c r="B5" s="32" t="s">
        <v>60</v>
      </c>
      <c r="C5" s="32">
        <f>IFERROR(C32,0)</f>
        <v>3685</v>
      </c>
      <c r="D5" s="3"/>
      <c r="E5" s="3"/>
      <c r="F5" s="3"/>
      <c r="G5" s="3"/>
      <c r="H5" s="3"/>
      <c r="I5" s="3"/>
    </row>
    <row r="6" spans="1:9" ht="24" customHeight="1" x14ac:dyDescent="0.35">
      <c r="A6" s="5" t="s">
        <v>38</v>
      </c>
      <c r="B6" s="3"/>
      <c r="C6" s="3"/>
      <c r="D6" s="3"/>
      <c r="E6" s="3"/>
      <c r="F6" s="3"/>
      <c r="G6" s="3"/>
      <c r="H6" s="3"/>
      <c r="I6" s="3"/>
    </row>
    <row r="7" spans="1:9" ht="15" customHeight="1" x14ac:dyDescent="0.35">
      <c r="A7" s="33" t="s">
        <v>61</v>
      </c>
      <c r="B7" s="33" t="s">
        <v>62</v>
      </c>
      <c r="C7" s="33" t="s">
        <v>63</v>
      </c>
      <c r="D7" s="33" t="s">
        <v>64</v>
      </c>
      <c r="E7" s="33" t="s">
        <v>65</v>
      </c>
      <c r="F7" s="3"/>
      <c r="G7" s="3"/>
      <c r="H7" s="3"/>
      <c r="I7" s="3"/>
    </row>
    <row r="8" spans="1:9" ht="15" customHeight="1" x14ac:dyDescent="0.35">
      <c r="A8" s="34" t="s">
        <v>66</v>
      </c>
      <c r="B8" s="35"/>
      <c r="C8" s="16">
        <f>IFERROR('⚙ Setup'!$B$7,0)</f>
        <v>5000</v>
      </c>
      <c r="D8" s="16">
        <f>IFERROR(IF(ISNUMBER('⚙ Setup'!$B$7),'⚙ Setup'!$B$7,0),0)</f>
        <v>5000</v>
      </c>
      <c r="E8" s="36">
        <f>C8-D8</f>
        <v>0</v>
      </c>
      <c r="F8" s="3"/>
      <c r="G8" s="3"/>
      <c r="H8" s="3"/>
      <c r="I8" s="3"/>
    </row>
    <row r="9" spans="1:9" ht="15" customHeight="1" x14ac:dyDescent="0.35">
      <c r="A9" s="37" t="s">
        <v>67</v>
      </c>
      <c r="B9" s="38"/>
      <c r="C9" s="22">
        <v>0</v>
      </c>
      <c r="D9" s="22">
        <v>0</v>
      </c>
      <c r="E9" s="39">
        <f>C9-D9</f>
        <v>0</v>
      </c>
      <c r="F9" s="3"/>
      <c r="G9" s="3"/>
      <c r="H9" s="3"/>
      <c r="I9" s="3"/>
    </row>
    <row r="10" spans="1:9" ht="15" customHeight="1" x14ac:dyDescent="0.35">
      <c r="A10" s="34" t="s">
        <v>68</v>
      </c>
      <c r="B10" s="35"/>
      <c r="C10" s="16">
        <v>500</v>
      </c>
      <c r="D10" s="16">
        <v>200</v>
      </c>
      <c r="E10" s="36">
        <f>C10-D10</f>
        <v>300</v>
      </c>
      <c r="F10" s="3"/>
      <c r="G10" s="3"/>
      <c r="H10" s="3"/>
      <c r="I10" s="3"/>
    </row>
    <row r="11" spans="1:9" ht="15" customHeight="1" x14ac:dyDescent="0.35">
      <c r="A11" s="37" t="s">
        <v>69</v>
      </c>
      <c r="B11" s="38"/>
      <c r="C11" s="22">
        <v>80</v>
      </c>
      <c r="D11" s="22">
        <v>50</v>
      </c>
      <c r="E11" s="39">
        <f>C11-D11</f>
        <v>30</v>
      </c>
      <c r="F11" s="3"/>
      <c r="G11" s="3"/>
      <c r="H11" s="3"/>
      <c r="I11" s="3"/>
    </row>
    <row r="12" spans="1:9" ht="15" customHeight="1" x14ac:dyDescent="0.35">
      <c r="A12" s="34" t="s">
        <v>70</v>
      </c>
      <c r="B12" s="35"/>
      <c r="C12" s="16">
        <v>0</v>
      </c>
      <c r="D12" s="16">
        <v>0</v>
      </c>
      <c r="E12" s="36">
        <f>C12-D12</f>
        <v>0</v>
      </c>
      <c r="F12" s="3"/>
      <c r="G12" s="3"/>
      <c r="H12" s="3"/>
      <c r="I12" s="3"/>
    </row>
    <row r="13" spans="1:9" ht="15" customHeight="1" x14ac:dyDescent="0.35">
      <c r="A13" s="40" t="s">
        <v>30</v>
      </c>
      <c r="B13" s="3"/>
      <c r="C13" s="41">
        <f>SUM(C8:C12)</f>
        <v>5580</v>
      </c>
      <c r="D13" s="42">
        <f>SUM(D8:D12)</f>
        <v>5250</v>
      </c>
      <c r="E13" s="3"/>
      <c r="F13" s="3"/>
      <c r="G13" s="3"/>
      <c r="H13" s="3"/>
      <c r="I13" s="3"/>
    </row>
    <row r="14" spans="1:9" ht="15" customHeight="1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9" ht="24" customHeight="1" x14ac:dyDescent="0.35">
      <c r="A15" s="5" t="s">
        <v>39</v>
      </c>
      <c r="B15" s="3"/>
      <c r="C15" s="3"/>
      <c r="D15" s="3"/>
      <c r="E15" s="3"/>
      <c r="F15" s="3"/>
      <c r="G15" s="3"/>
      <c r="H15" s="3"/>
      <c r="I15" s="3"/>
    </row>
    <row r="16" spans="1:9" ht="15" customHeight="1" x14ac:dyDescent="0.35">
      <c r="A16" s="33" t="s">
        <v>71</v>
      </c>
      <c r="B16" s="33" t="s">
        <v>62</v>
      </c>
      <c r="C16" s="33" t="s">
        <v>72</v>
      </c>
      <c r="D16" s="33" t="s">
        <v>64</v>
      </c>
      <c r="E16" s="33" t="s">
        <v>65</v>
      </c>
      <c r="F16" s="3"/>
      <c r="G16" s="3"/>
      <c r="H16" s="3"/>
      <c r="I16" s="3"/>
    </row>
    <row r="17" spans="1:9" ht="15" customHeight="1" x14ac:dyDescent="0.35">
      <c r="A17" s="34" t="s">
        <v>13</v>
      </c>
      <c r="B17" s="35"/>
      <c r="C17" s="16">
        <v>1500</v>
      </c>
      <c r="D17" s="16" cm="1">
        <f t="array" ref="D17">IFERROR(IF(ISNUMBER(INDEX('⚙ Setup'!$B:$B,ROW()-2)),INDEX('⚙ Setup'!$B:$B,ROW()-2),0),0)</f>
        <v>0</v>
      </c>
      <c r="E17" s="43">
        <f t="shared" ref="E17:E31" si="0">D17-C17</f>
        <v>-1500</v>
      </c>
      <c r="F17" s="3"/>
      <c r="G17" s="3"/>
      <c r="H17" s="3"/>
      <c r="I17" s="3"/>
    </row>
    <row r="18" spans="1:9" ht="15" customHeight="1" x14ac:dyDescent="0.35">
      <c r="A18" s="37" t="s">
        <v>15</v>
      </c>
      <c r="B18" s="38"/>
      <c r="C18" s="22">
        <v>350</v>
      </c>
      <c r="D18" s="22" cm="1">
        <f t="array" ref="D18">IFERROR(IF(ISNUMBER(INDEX('⚙ Setup'!$B:$B,ROW()-2)),INDEX('⚙ Setup'!$B:$B,ROW()-2),0),0)</f>
        <v>0</v>
      </c>
      <c r="E18" s="44">
        <f t="shared" si="0"/>
        <v>-350</v>
      </c>
      <c r="F18" s="3"/>
      <c r="G18" s="3"/>
      <c r="H18" s="3"/>
      <c r="I18" s="3"/>
    </row>
    <row r="19" spans="1:9" ht="15" customHeight="1" x14ac:dyDescent="0.35">
      <c r="A19" s="34" t="s">
        <v>16</v>
      </c>
      <c r="B19" s="35"/>
      <c r="C19" s="16">
        <v>620</v>
      </c>
      <c r="D19" s="16" cm="1">
        <f t="array" ref="D19">IFERROR(IF(ISNUMBER(INDEX('⚙ Setup'!$B:$B,ROW()-2)),INDEX('⚙ Setup'!$B:$B,ROW()-2),0),0)</f>
        <v>0</v>
      </c>
      <c r="E19" s="43">
        <f t="shared" si="0"/>
        <v>-620</v>
      </c>
      <c r="F19" s="3"/>
      <c r="G19" s="3"/>
      <c r="H19" s="3"/>
      <c r="I19" s="3"/>
    </row>
    <row r="20" spans="1:9" ht="15" customHeight="1" x14ac:dyDescent="0.35">
      <c r="A20" s="37" t="s">
        <v>17</v>
      </c>
      <c r="B20" s="38"/>
      <c r="C20" s="22">
        <v>160</v>
      </c>
      <c r="D20" s="22" cm="1">
        <f t="array" ref="D20">IFERROR(IF(ISNUMBER(INDEX('⚙ Setup'!$B:$B,ROW()-2)),INDEX('⚙ Setup'!$B:$B,ROW()-2),0),0)</f>
        <v>0</v>
      </c>
      <c r="E20" s="44">
        <f t="shared" si="0"/>
        <v>-160</v>
      </c>
      <c r="F20" s="3"/>
      <c r="G20" s="3"/>
      <c r="H20" s="3"/>
      <c r="I20" s="3"/>
    </row>
    <row r="21" spans="1:9" ht="15" customHeight="1" x14ac:dyDescent="0.35">
      <c r="A21" s="34" t="s">
        <v>18</v>
      </c>
      <c r="B21" s="35"/>
      <c r="C21" s="16">
        <v>250</v>
      </c>
      <c r="D21" s="16" cm="1">
        <f t="array" ref="D21">IFERROR(IF(ISNUMBER(INDEX('⚙ Setup'!$B:$B,ROW()-2)),INDEX('⚙ Setup'!$B:$B,ROW()-2),0),0)</f>
        <v>0</v>
      </c>
      <c r="E21" s="43">
        <f t="shared" si="0"/>
        <v>-250</v>
      </c>
      <c r="F21" s="3"/>
      <c r="G21" s="3"/>
      <c r="H21" s="3"/>
      <c r="I21" s="3"/>
    </row>
    <row r="22" spans="1:9" ht="15" customHeight="1" x14ac:dyDescent="0.35">
      <c r="A22" s="37" t="s">
        <v>19</v>
      </c>
      <c r="B22" s="38"/>
      <c r="C22" s="22">
        <v>80</v>
      </c>
      <c r="D22" s="22" cm="1">
        <f t="array" ref="D22">IFERROR(IF(ISNUMBER(INDEX('⚙ Setup'!$B:$B,ROW()-2)),INDEX('⚙ Setup'!$B:$B,ROW()-2),0),0)</f>
        <v>0</v>
      </c>
      <c r="E22" s="44">
        <f t="shared" si="0"/>
        <v>-80</v>
      </c>
      <c r="F22" s="3"/>
      <c r="G22" s="3"/>
      <c r="H22" s="3"/>
      <c r="I22" s="3"/>
    </row>
    <row r="23" spans="1:9" ht="15" customHeight="1" x14ac:dyDescent="0.35">
      <c r="A23" s="34" t="s">
        <v>20</v>
      </c>
      <c r="B23" s="35"/>
      <c r="C23" s="16">
        <v>150</v>
      </c>
      <c r="D23" s="16" cm="1">
        <f t="array" ref="D23">IFERROR(IF(ISNUMBER(INDEX('⚙ Setup'!$B:$B,ROW()-2)),INDEX('⚙ Setup'!$B:$B,ROW()-2),0),0)</f>
        <v>0</v>
      </c>
      <c r="E23" s="43">
        <f t="shared" si="0"/>
        <v>-150</v>
      </c>
      <c r="F23" s="3"/>
      <c r="G23" s="3"/>
      <c r="H23" s="3"/>
      <c r="I23" s="3"/>
    </row>
    <row r="24" spans="1:9" ht="15" customHeight="1" x14ac:dyDescent="0.35">
      <c r="A24" s="37" t="s">
        <v>21</v>
      </c>
      <c r="B24" s="38"/>
      <c r="C24" s="22">
        <v>200</v>
      </c>
      <c r="D24" s="22" cm="1">
        <f t="array" ref="D24">IFERROR(IF(ISNUMBER(INDEX('⚙ Setup'!$B:$B,ROW()-2)),INDEX('⚙ Setup'!$B:$B,ROW()-2),0),0)</f>
        <v>0</v>
      </c>
      <c r="E24" s="44">
        <f t="shared" si="0"/>
        <v>-200</v>
      </c>
      <c r="F24" s="3"/>
      <c r="G24" s="3"/>
      <c r="H24" s="3"/>
      <c r="I24" s="3"/>
    </row>
    <row r="25" spans="1:9" ht="15" customHeight="1" x14ac:dyDescent="0.35">
      <c r="A25" s="34" t="s">
        <v>22</v>
      </c>
      <c r="B25" s="35"/>
      <c r="C25" s="16">
        <v>60</v>
      </c>
      <c r="D25" s="16" cm="1">
        <f t="array" ref="D25">IFERROR(IF(ISNUMBER(INDEX('⚙ Setup'!$B:$B,ROW()-2)),INDEX('⚙ Setup'!$B:$B,ROW()-2),0),0)</f>
        <v>0</v>
      </c>
      <c r="E25" s="43">
        <f t="shared" si="0"/>
        <v>-60</v>
      </c>
      <c r="F25" s="3"/>
      <c r="G25" s="3"/>
      <c r="H25" s="3"/>
      <c r="I25" s="3"/>
    </row>
    <row r="26" spans="1:9" ht="15" customHeight="1" x14ac:dyDescent="0.35">
      <c r="A26" s="37" t="s">
        <v>23</v>
      </c>
      <c r="B26" s="38"/>
      <c r="C26" s="22">
        <v>50</v>
      </c>
      <c r="D26" s="22" cm="1">
        <f t="array" ref="D26">IFERROR(IF(ISNUMBER(INDEX('⚙ Setup'!$B:$B,ROW()-2)),INDEX('⚙ Setup'!$B:$B,ROW()-2),0),0)</f>
        <v>0</v>
      </c>
      <c r="E26" s="44">
        <f t="shared" si="0"/>
        <v>-50</v>
      </c>
      <c r="F26" s="3"/>
      <c r="G26" s="3"/>
      <c r="H26" s="3"/>
      <c r="I26" s="3"/>
    </row>
    <row r="27" spans="1:9" ht="15" customHeight="1" x14ac:dyDescent="0.35">
      <c r="A27" s="34" t="s">
        <v>24</v>
      </c>
      <c r="B27" s="35"/>
      <c r="C27" s="16">
        <v>75</v>
      </c>
      <c r="D27" s="16" cm="1">
        <f t="array" ref="D27">IFERROR(IF(ISNUMBER(INDEX('⚙ Setup'!$B:$B,ROW()-2)),INDEX('⚙ Setup'!$B:$B,ROW()-2),0),0)</f>
        <v>0</v>
      </c>
      <c r="E27" s="43">
        <f t="shared" si="0"/>
        <v>-75</v>
      </c>
      <c r="F27" s="3"/>
      <c r="G27" s="3"/>
      <c r="H27" s="3"/>
      <c r="I27" s="3"/>
    </row>
    <row r="28" spans="1:9" ht="15" customHeight="1" x14ac:dyDescent="0.35">
      <c r="A28" s="37" t="s">
        <v>25</v>
      </c>
      <c r="B28" s="38"/>
      <c r="C28" s="22">
        <v>0</v>
      </c>
      <c r="D28" s="22" cm="1">
        <f t="array" ref="D28">IFERROR(IF(ISNUMBER(INDEX('⚙ Setup'!$B:$B,ROW()-2)),INDEX('⚙ Setup'!$B:$B,ROW()-2),0),0)</f>
        <v>0</v>
      </c>
      <c r="E28" s="44">
        <f t="shared" si="0"/>
        <v>0</v>
      </c>
      <c r="F28" s="3"/>
      <c r="G28" s="3"/>
      <c r="H28" s="3"/>
      <c r="I28" s="3"/>
    </row>
    <row r="29" spans="1:9" ht="15" customHeight="1" x14ac:dyDescent="0.35">
      <c r="A29" s="34" t="s">
        <v>26</v>
      </c>
      <c r="B29" s="35"/>
      <c r="C29" s="16">
        <v>100</v>
      </c>
      <c r="D29" s="16" cm="1">
        <f t="array" ref="D29">IFERROR(IF(ISNUMBER(INDEX('⚙ Setup'!$B:$B,ROW()-2)),INDEX('⚙ Setup'!$B:$B,ROW()-2),0),0)</f>
        <v>0</v>
      </c>
      <c r="E29" s="43">
        <f t="shared" si="0"/>
        <v>-100</v>
      </c>
      <c r="F29" s="3"/>
      <c r="G29" s="3"/>
      <c r="H29" s="3"/>
      <c r="I29" s="3"/>
    </row>
    <row r="30" spans="1:9" ht="15" customHeight="1" x14ac:dyDescent="0.35">
      <c r="A30" s="37" t="s">
        <v>27</v>
      </c>
      <c r="B30" s="38"/>
      <c r="C30" s="22">
        <v>0</v>
      </c>
      <c r="D30" s="22" cm="1">
        <f t="array" ref="D30">IFERROR(IF(ISNUMBER(INDEX('⚙ Setup'!$B:$B,ROW()-2)),INDEX('⚙ Setup'!$B:$B,ROW()-2),0),0)</f>
        <v>0</v>
      </c>
      <c r="E30" s="44">
        <f t="shared" si="0"/>
        <v>0</v>
      </c>
      <c r="F30" s="3"/>
      <c r="G30" s="3"/>
      <c r="H30" s="3"/>
      <c r="I30" s="3"/>
    </row>
    <row r="31" spans="1:9" ht="15" customHeight="1" x14ac:dyDescent="0.35">
      <c r="A31" s="34" t="s">
        <v>28</v>
      </c>
      <c r="B31" s="35"/>
      <c r="C31" s="16">
        <v>90</v>
      </c>
      <c r="D31" s="16" cm="1">
        <f t="array" ref="D31">IFERROR(IF(ISNUMBER(INDEX('⚙ Setup'!$B:$B,ROW()-2)),INDEX('⚙ Setup'!$B:$B,ROW()-2),0),0)</f>
        <v>0</v>
      </c>
      <c r="E31" s="43">
        <f t="shared" si="0"/>
        <v>-90</v>
      </c>
      <c r="F31" s="3"/>
      <c r="G31" s="3"/>
      <c r="H31" s="3"/>
      <c r="I31" s="3"/>
    </row>
    <row r="32" spans="1:9" ht="15" customHeight="1" x14ac:dyDescent="0.35">
      <c r="A32" s="45" t="s">
        <v>31</v>
      </c>
      <c r="B32" s="3"/>
      <c r="C32" s="46">
        <f>SUM(C17:C31)</f>
        <v>3685</v>
      </c>
      <c r="D32" s="42">
        <f>SUM(D17:D31)</f>
        <v>0</v>
      </c>
      <c r="E32" s="3"/>
      <c r="F32" s="3"/>
      <c r="G32" s="3"/>
      <c r="H32" s="3"/>
      <c r="I32" s="3"/>
    </row>
    <row r="33" spans="1:9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35">
      <c r="A34" s="47" t="s">
        <v>73</v>
      </c>
      <c r="B34" s="3"/>
      <c r="C34" s="48">
        <f>C13-C32</f>
        <v>1895</v>
      </c>
      <c r="D34" s="3"/>
      <c r="E34" s="3"/>
      <c r="F34" s="3"/>
      <c r="G34" s="3"/>
      <c r="H34" s="3"/>
      <c r="I34" s="3"/>
    </row>
    <row r="35" spans="1: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</row>
    <row r="36" spans="1:9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</row>
    <row r="38" spans="1: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</row>
    <row r="40" spans="1:9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</row>
    <row r="41" spans="1:9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</row>
    <row r="43" spans="1: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</row>
    <row r="45" spans="1: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</row>
    <row r="46" spans="1: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</row>
    <row r="47" spans="1: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</row>
    <row r="48" spans="1:9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</row>
    <row r="49" spans="1: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</row>
    <row r="52" spans="1:9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</row>
    <row r="53" spans="1:9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</row>
    <row r="54" spans="1:9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</row>
    <row r="55" spans="1:9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</row>
    <row r="56" spans="1:9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</row>
    <row r="57" spans="1:9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</row>
    <row r="58" spans="1:9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</row>
    <row r="59" spans="1:9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59E0B"/>
  </sheetPr>
  <dimension ref="A1:I5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E1"/>
    </sheetView>
  </sheetViews>
  <sheetFormatPr baseColWidth="10" defaultColWidth="8.6328125" defaultRowHeight="14.5" x14ac:dyDescent="0.35"/>
  <cols>
    <col min="1" max="1" width="26" customWidth="1"/>
    <col min="2" max="2" width="18" customWidth="1"/>
    <col min="3" max="5" width="15" customWidth="1"/>
  </cols>
  <sheetData>
    <row r="1" spans="1:9" ht="27.75" customHeight="1" x14ac:dyDescent="0.35">
      <c r="A1" s="180" t="str">
        <f>"📅 MAY "&amp;'⚙ Setup'!$B$10&amp;"  ·  Monthly Budget"</f>
        <v>📅 MAY 2026  ·  Monthly Budget</v>
      </c>
      <c r="B1" s="180"/>
      <c r="C1" s="180"/>
      <c r="D1" s="180"/>
      <c r="E1" s="180"/>
      <c r="F1" s="3"/>
      <c r="G1" s="3"/>
      <c r="H1" s="3"/>
      <c r="I1" s="3"/>
    </row>
    <row r="2" spans="1:9" ht="15" customHeight="1" x14ac:dyDescent="0.35">
      <c r="A2" s="2" t="s">
        <v>56</v>
      </c>
      <c r="B2" s="3"/>
      <c r="C2" s="2" t="s">
        <v>57</v>
      </c>
      <c r="D2" s="3"/>
      <c r="E2" s="2" t="s">
        <v>58</v>
      </c>
      <c r="F2" s="3"/>
      <c r="G2" s="3"/>
      <c r="H2" s="3"/>
      <c r="I2" s="3"/>
    </row>
    <row r="3" spans="1:9" ht="18" customHeight="1" x14ac:dyDescent="0.35">
      <c r="A3" s="29">
        <f>C4</f>
        <v>5580</v>
      </c>
      <c r="B3" s="3"/>
      <c r="C3" s="30">
        <f>C5</f>
        <v>3790</v>
      </c>
      <c r="D3" s="3"/>
      <c r="E3" s="31">
        <f>C4-C5</f>
        <v>1790</v>
      </c>
      <c r="F3" s="3"/>
      <c r="G3" s="3"/>
      <c r="H3" s="3"/>
      <c r="I3" s="3"/>
    </row>
    <row r="4" spans="1:9" ht="1.5" customHeight="1" x14ac:dyDescent="0.35">
      <c r="A4" s="3"/>
      <c r="B4" s="32" t="s">
        <v>59</v>
      </c>
      <c r="C4" s="32">
        <f>IFERROR(C13,0)</f>
        <v>5580</v>
      </c>
      <c r="D4" s="3"/>
      <c r="E4" s="3"/>
      <c r="F4" s="3"/>
      <c r="G4" s="3"/>
      <c r="H4" s="3"/>
      <c r="I4" s="3"/>
    </row>
    <row r="5" spans="1:9" ht="1.5" customHeight="1" x14ac:dyDescent="0.35">
      <c r="A5" s="3"/>
      <c r="B5" s="32" t="s">
        <v>60</v>
      </c>
      <c r="C5" s="32">
        <f>IFERROR(C32,0)</f>
        <v>3790</v>
      </c>
      <c r="D5" s="3"/>
      <c r="E5" s="3"/>
      <c r="F5" s="3"/>
      <c r="G5" s="3"/>
      <c r="H5" s="3"/>
      <c r="I5" s="3"/>
    </row>
    <row r="6" spans="1:9" ht="24" customHeight="1" x14ac:dyDescent="0.35">
      <c r="A6" s="5" t="s">
        <v>38</v>
      </c>
      <c r="B6" s="3"/>
      <c r="C6" s="3"/>
      <c r="D6" s="3"/>
      <c r="E6" s="3"/>
      <c r="F6" s="3"/>
      <c r="G6" s="3"/>
      <c r="H6" s="3"/>
      <c r="I6" s="3"/>
    </row>
    <row r="7" spans="1:9" ht="15" customHeight="1" x14ac:dyDescent="0.35">
      <c r="A7" s="33" t="s">
        <v>61</v>
      </c>
      <c r="B7" s="33" t="s">
        <v>62</v>
      </c>
      <c r="C7" s="33" t="s">
        <v>63</v>
      </c>
      <c r="D7" s="33" t="s">
        <v>64</v>
      </c>
      <c r="E7" s="33" t="s">
        <v>65</v>
      </c>
      <c r="F7" s="3"/>
      <c r="G7" s="3"/>
      <c r="H7" s="3"/>
      <c r="I7" s="3"/>
    </row>
    <row r="8" spans="1:9" ht="15" customHeight="1" x14ac:dyDescent="0.35">
      <c r="A8" s="34" t="s">
        <v>66</v>
      </c>
      <c r="B8" s="35"/>
      <c r="C8" s="16">
        <f>IFERROR('⚙ Setup'!$B$7,0)</f>
        <v>5000</v>
      </c>
      <c r="D8" s="16">
        <f>IFERROR(IF(ISNUMBER('⚙ Setup'!$B$7),'⚙ Setup'!$B$7,0),0)</f>
        <v>5000</v>
      </c>
      <c r="E8" s="36">
        <f>C8-D8</f>
        <v>0</v>
      </c>
      <c r="F8" s="3"/>
      <c r="G8" s="3"/>
      <c r="H8" s="3"/>
      <c r="I8" s="3"/>
    </row>
    <row r="9" spans="1:9" ht="15" customHeight="1" x14ac:dyDescent="0.35">
      <c r="A9" s="37" t="s">
        <v>67</v>
      </c>
      <c r="B9" s="38"/>
      <c r="C9" s="22">
        <v>0</v>
      </c>
      <c r="D9" s="22">
        <v>0</v>
      </c>
      <c r="E9" s="39">
        <f>C9-D9</f>
        <v>0</v>
      </c>
      <c r="F9" s="3"/>
      <c r="G9" s="3"/>
      <c r="H9" s="3"/>
      <c r="I9" s="3"/>
    </row>
    <row r="10" spans="1:9" ht="15" customHeight="1" x14ac:dyDescent="0.35">
      <c r="A10" s="34" t="s">
        <v>68</v>
      </c>
      <c r="B10" s="35"/>
      <c r="C10" s="16">
        <v>500</v>
      </c>
      <c r="D10" s="16">
        <v>200</v>
      </c>
      <c r="E10" s="36">
        <f>C10-D10</f>
        <v>300</v>
      </c>
      <c r="F10" s="3"/>
      <c r="G10" s="3"/>
      <c r="H10" s="3"/>
      <c r="I10" s="3"/>
    </row>
    <row r="11" spans="1:9" ht="15" customHeight="1" x14ac:dyDescent="0.35">
      <c r="A11" s="37" t="s">
        <v>69</v>
      </c>
      <c r="B11" s="38"/>
      <c r="C11" s="22">
        <v>80</v>
      </c>
      <c r="D11" s="22">
        <v>50</v>
      </c>
      <c r="E11" s="39">
        <f>C11-D11</f>
        <v>30</v>
      </c>
      <c r="F11" s="3"/>
      <c r="G11" s="3"/>
      <c r="H11" s="3"/>
      <c r="I11" s="3"/>
    </row>
    <row r="12" spans="1:9" ht="15" customHeight="1" x14ac:dyDescent="0.35">
      <c r="A12" s="34" t="s">
        <v>70</v>
      </c>
      <c r="B12" s="35"/>
      <c r="C12" s="16">
        <v>0</v>
      </c>
      <c r="D12" s="16">
        <v>0</v>
      </c>
      <c r="E12" s="36">
        <f>C12-D12</f>
        <v>0</v>
      </c>
      <c r="F12" s="3"/>
      <c r="G12" s="3"/>
      <c r="H12" s="3"/>
      <c r="I12" s="3"/>
    </row>
    <row r="13" spans="1:9" ht="15" customHeight="1" x14ac:dyDescent="0.35">
      <c r="A13" s="40" t="s">
        <v>30</v>
      </c>
      <c r="B13" s="3"/>
      <c r="C13" s="41">
        <f>SUM(C8:C12)</f>
        <v>5580</v>
      </c>
      <c r="D13" s="42">
        <f>SUM(D8:D12)</f>
        <v>5250</v>
      </c>
      <c r="E13" s="3"/>
      <c r="F13" s="3"/>
      <c r="G13" s="3"/>
      <c r="H13" s="3"/>
      <c r="I13" s="3"/>
    </row>
    <row r="14" spans="1:9" ht="15" customHeight="1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9" ht="24" customHeight="1" x14ac:dyDescent="0.35">
      <c r="A15" s="5" t="s">
        <v>39</v>
      </c>
      <c r="B15" s="3"/>
      <c r="C15" s="3"/>
      <c r="D15" s="3"/>
      <c r="E15" s="3"/>
      <c r="F15" s="3"/>
      <c r="G15" s="3"/>
      <c r="H15" s="3"/>
      <c r="I15" s="3"/>
    </row>
    <row r="16" spans="1:9" ht="15" customHeight="1" x14ac:dyDescent="0.35">
      <c r="A16" s="33" t="s">
        <v>71</v>
      </c>
      <c r="B16" s="33" t="s">
        <v>62</v>
      </c>
      <c r="C16" s="33" t="s">
        <v>72</v>
      </c>
      <c r="D16" s="33" t="s">
        <v>64</v>
      </c>
      <c r="E16" s="33" t="s">
        <v>65</v>
      </c>
      <c r="F16" s="3"/>
      <c r="G16" s="3"/>
      <c r="H16" s="3"/>
      <c r="I16" s="3"/>
    </row>
    <row r="17" spans="1:9" ht="15" customHeight="1" x14ac:dyDescent="0.35">
      <c r="A17" s="34" t="s">
        <v>13</v>
      </c>
      <c r="B17" s="35"/>
      <c r="C17" s="16">
        <v>1500</v>
      </c>
      <c r="D17" s="16" cm="1">
        <f t="array" ref="D17">IFERROR(IF(ISNUMBER(INDEX('⚙ Setup'!$B:$B,ROW()-2)),INDEX('⚙ Setup'!$B:$B,ROW()-2),0),0)</f>
        <v>0</v>
      </c>
      <c r="E17" s="43">
        <f t="shared" ref="E17:E31" si="0">D17-C17</f>
        <v>-1500</v>
      </c>
      <c r="F17" s="3"/>
      <c r="G17" s="3"/>
      <c r="H17" s="3"/>
      <c r="I17" s="3"/>
    </row>
    <row r="18" spans="1:9" ht="15" customHeight="1" x14ac:dyDescent="0.35">
      <c r="A18" s="37" t="s">
        <v>15</v>
      </c>
      <c r="B18" s="38"/>
      <c r="C18" s="22">
        <v>380</v>
      </c>
      <c r="D18" s="22" cm="1">
        <f t="array" ref="D18">IFERROR(IF(ISNUMBER(INDEX('⚙ Setup'!$B:$B,ROW()-2)),INDEX('⚙ Setup'!$B:$B,ROW()-2),0),0)</f>
        <v>0</v>
      </c>
      <c r="E18" s="44">
        <f t="shared" si="0"/>
        <v>-380</v>
      </c>
      <c r="F18" s="3"/>
      <c r="G18" s="3"/>
      <c r="H18" s="3"/>
      <c r="I18" s="3"/>
    </row>
    <row r="19" spans="1:9" ht="15" customHeight="1" x14ac:dyDescent="0.35">
      <c r="A19" s="34" t="s">
        <v>16</v>
      </c>
      <c r="B19" s="35"/>
      <c r="C19" s="16">
        <v>640</v>
      </c>
      <c r="D19" s="16" cm="1">
        <f t="array" ref="D19">IFERROR(IF(ISNUMBER(INDEX('⚙ Setup'!$B:$B,ROW()-2)),INDEX('⚙ Setup'!$B:$B,ROW()-2),0),0)</f>
        <v>0</v>
      </c>
      <c r="E19" s="43">
        <f t="shared" si="0"/>
        <v>-640</v>
      </c>
      <c r="F19" s="3"/>
      <c r="G19" s="3"/>
      <c r="H19" s="3"/>
      <c r="I19" s="3"/>
    </row>
    <row r="20" spans="1:9" ht="15" customHeight="1" x14ac:dyDescent="0.35">
      <c r="A20" s="37" t="s">
        <v>17</v>
      </c>
      <c r="B20" s="38"/>
      <c r="C20" s="22">
        <v>155</v>
      </c>
      <c r="D20" s="22" cm="1">
        <f t="array" ref="D20">IFERROR(IF(ISNUMBER(INDEX('⚙ Setup'!$B:$B,ROW()-2)),INDEX('⚙ Setup'!$B:$B,ROW()-2),0),0)</f>
        <v>0</v>
      </c>
      <c r="E20" s="44">
        <f t="shared" si="0"/>
        <v>-155</v>
      </c>
      <c r="F20" s="3"/>
      <c r="G20" s="3"/>
      <c r="H20" s="3"/>
      <c r="I20" s="3"/>
    </row>
    <row r="21" spans="1:9" ht="15" customHeight="1" x14ac:dyDescent="0.35">
      <c r="A21" s="34" t="s">
        <v>18</v>
      </c>
      <c r="B21" s="35"/>
      <c r="C21" s="16">
        <v>250</v>
      </c>
      <c r="D21" s="16" cm="1">
        <f t="array" ref="D21">IFERROR(IF(ISNUMBER(INDEX('⚙ Setup'!$B:$B,ROW()-2)),INDEX('⚙ Setup'!$B:$B,ROW()-2),0),0)</f>
        <v>0</v>
      </c>
      <c r="E21" s="43">
        <f t="shared" si="0"/>
        <v>-250</v>
      </c>
      <c r="F21" s="3"/>
      <c r="G21" s="3"/>
      <c r="H21" s="3"/>
      <c r="I21" s="3"/>
    </row>
    <row r="22" spans="1:9" ht="15" customHeight="1" x14ac:dyDescent="0.35">
      <c r="A22" s="37" t="s">
        <v>19</v>
      </c>
      <c r="B22" s="38"/>
      <c r="C22" s="22">
        <v>0</v>
      </c>
      <c r="D22" s="22" cm="1">
        <f t="array" ref="D22">IFERROR(IF(ISNUMBER(INDEX('⚙ Setup'!$B:$B,ROW()-2)),INDEX('⚙ Setup'!$B:$B,ROW()-2),0),0)</f>
        <v>0</v>
      </c>
      <c r="E22" s="44">
        <f t="shared" si="0"/>
        <v>0</v>
      </c>
      <c r="F22" s="3"/>
      <c r="G22" s="3"/>
      <c r="H22" s="3"/>
      <c r="I22" s="3"/>
    </row>
    <row r="23" spans="1:9" ht="15" customHeight="1" x14ac:dyDescent="0.35">
      <c r="A23" s="34" t="s">
        <v>20</v>
      </c>
      <c r="B23" s="35"/>
      <c r="C23" s="16">
        <v>180</v>
      </c>
      <c r="D23" s="16" cm="1">
        <f t="array" ref="D23">IFERROR(IF(ISNUMBER(INDEX('⚙ Setup'!$B:$B,ROW()-2)),INDEX('⚙ Setup'!$B:$B,ROW()-2),0),0)</f>
        <v>0</v>
      </c>
      <c r="E23" s="43">
        <f t="shared" si="0"/>
        <v>-180</v>
      </c>
      <c r="F23" s="3"/>
      <c r="G23" s="3"/>
      <c r="H23" s="3"/>
      <c r="I23" s="3"/>
    </row>
    <row r="24" spans="1:9" ht="15" customHeight="1" x14ac:dyDescent="0.35">
      <c r="A24" s="37" t="s">
        <v>21</v>
      </c>
      <c r="B24" s="38"/>
      <c r="C24" s="22">
        <v>150</v>
      </c>
      <c r="D24" s="22" cm="1">
        <f t="array" ref="D24">IFERROR(IF(ISNUMBER(INDEX('⚙ Setup'!$B:$B,ROW()-2)),INDEX('⚙ Setup'!$B:$B,ROW()-2),0),0)</f>
        <v>0</v>
      </c>
      <c r="E24" s="44">
        <f t="shared" si="0"/>
        <v>-150</v>
      </c>
      <c r="F24" s="3"/>
      <c r="G24" s="3"/>
      <c r="H24" s="3"/>
      <c r="I24" s="3"/>
    </row>
    <row r="25" spans="1:9" ht="15" customHeight="1" x14ac:dyDescent="0.35">
      <c r="A25" s="34" t="s">
        <v>22</v>
      </c>
      <c r="B25" s="35"/>
      <c r="C25" s="16">
        <v>60</v>
      </c>
      <c r="D25" s="16" cm="1">
        <f t="array" ref="D25">IFERROR(IF(ISNUMBER(INDEX('⚙ Setup'!$B:$B,ROW()-2)),INDEX('⚙ Setup'!$B:$B,ROW()-2),0),0)</f>
        <v>0</v>
      </c>
      <c r="E25" s="43">
        <f t="shared" si="0"/>
        <v>-60</v>
      </c>
      <c r="F25" s="3"/>
      <c r="G25" s="3"/>
      <c r="H25" s="3"/>
      <c r="I25" s="3"/>
    </row>
    <row r="26" spans="1:9" ht="15" customHeight="1" x14ac:dyDescent="0.35">
      <c r="A26" s="37" t="s">
        <v>23</v>
      </c>
      <c r="B26" s="38"/>
      <c r="C26" s="22">
        <v>50</v>
      </c>
      <c r="D26" s="22" cm="1">
        <f t="array" ref="D26">IFERROR(IF(ISNUMBER(INDEX('⚙ Setup'!$B:$B,ROW()-2)),INDEX('⚙ Setup'!$B:$B,ROW()-2),0),0)</f>
        <v>0</v>
      </c>
      <c r="E26" s="44">
        <f t="shared" si="0"/>
        <v>-50</v>
      </c>
      <c r="F26" s="3"/>
      <c r="G26" s="3"/>
      <c r="H26" s="3"/>
      <c r="I26" s="3"/>
    </row>
    <row r="27" spans="1:9" ht="15" customHeight="1" x14ac:dyDescent="0.35">
      <c r="A27" s="34" t="s">
        <v>24</v>
      </c>
      <c r="B27" s="35"/>
      <c r="C27" s="16">
        <v>75</v>
      </c>
      <c r="D27" s="16" cm="1">
        <f t="array" ref="D27">IFERROR(IF(ISNUMBER(INDEX('⚙ Setup'!$B:$B,ROW()-2)),INDEX('⚙ Setup'!$B:$B,ROW()-2),0),0)</f>
        <v>0</v>
      </c>
      <c r="E27" s="43">
        <f t="shared" si="0"/>
        <v>-75</v>
      </c>
      <c r="F27" s="3"/>
      <c r="G27" s="3"/>
      <c r="H27" s="3"/>
      <c r="I27" s="3"/>
    </row>
    <row r="28" spans="1:9" ht="15" customHeight="1" x14ac:dyDescent="0.35">
      <c r="A28" s="37" t="s">
        <v>25</v>
      </c>
      <c r="B28" s="38"/>
      <c r="C28" s="22">
        <v>0</v>
      </c>
      <c r="D28" s="22" cm="1">
        <f t="array" ref="D28">IFERROR(IF(ISNUMBER(INDEX('⚙ Setup'!$B:$B,ROW()-2)),INDEX('⚙ Setup'!$B:$B,ROW()-2),0),0)</f>
        <v>0</v>
      </c>
      <c r="E28" s="44">
        <f t="shared" si="0"/>
        <v>0</v>
      </c>
      <c r="F28" s="3"/>
      <c r="G28" s="3"/>
      <c r="H28" s="3"/>
      <c r="I28" s="3"/>
    </row>
    <row r="29" spans="1:9" ht="15" customHeight="1" x14ac:dyDescent="0.35">
      <c r="A29" s="34" t="s">
        <v>26</v>
      </c>
      <c r="B29" s="35"/>
      <c r="C29" s="16">
        <v>50</v>
      </c>
      <c r="D29" s="16" cm="1">
        <f t="array" ref="D29">IFERROR(IF(ISNUMBER(INDEX('⚙ Setup'!$B:$B,ROW()-2)),INDEX('⚙ Setup'!$B:$B,ROW()-2),0),0)</f>
        <v>0</v>
      </c>
      <c r="E29" s="43">
        <f t="shared" si="0"/>
        <v>-50</v>
      </c>
      <c r="F29" s="3"/>
      <c r="G29" s="3"/>
      <c r="H29" s="3"/>
      <c r="I29" s="3"/>
    </row>
    <row r="30" spans="1:9" ht="15" customHeight="1" x14ac:dyDescent="0.35">
      <c r="A30" s="37" t="s">
        <v>27</v>
      </c>
      <c r="B30" s="38"/>
      <c r="C30" s="22">
        <v>200</v>
      </c>
      <c r="D30" s="22" cm="1">
        <f t="array" ref="D30">IFERROR(IF(ISNUMBER(INDEX('⚙ Setup'!$B:$B,ROW()-2)),INDEX('⚙ Setup'!$B:$B,ROW()-2),0),0)</f>
        <v>0</v>
      </c>
      <c r="E30" s="44">
        <f t="shared" si="0"/>
        <v>-200</v>
      </c>
      <c r="F30" s="3"/>
      <c r="G30" s="3"/>
      <c r="H30" s="3"/>
      <c r="I30" s="3"/>
    </row>
    <row r="31" spans="1:9" ht="15" customHeight="1" x14ac:dyDescent="0.35">
      <c r="A31" s="34" t="s">
        <v>28</v>
      </c>
      <c r="B31" s="35"/>
      <c r="C31" s="16">
        <v>100</v>
      </c>
      <c r="D31" s="16" cm="1">
        <f t="array" ref="D31">IFERROR(IF(ISNUMBER(INDEX('⚙ Setup'!$B:$B,ROW()-2)),INDEX('⚙ Setup'!$B:$B,ROW()-2),0),0)</f>
        <v>0</v>
      </c>
      <c r="E31" s="43">
        <f t="shared" si="0"/>
        <v>-100</v>
      </c>
      <c r="F31" s="3"/>
      <c r="G31" s="3"/>
      <c r="H31" s="3"/>
      <c r="I31" s="3"/>
    </row>
    <row r="32" spans="1:9" ht="15" customHeight="1" x14ac:dyDescent="0.35">
      <c r="A32" s="45" t="s">
        <v>31</v>
      </c>
      <c r="B32" s="3"/>
      <c r="C32" s="46">
        <f>SUM(C17:C31)</f>
        <v>3790</v>
      </c>
      <c r="D32" s="42">
        <f>SUM(D17:D31)</f>
        <v>0</v>
      </c>
      <c r="E32" s="3"/>
      <c r="F32" s="3"/>
      <c r="G32" s="3"/>
      <c r="H32" s="3"/>
      <c r="I32" s="3"/>
    </row>
    <row r="33" spans="1:9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35">
      <c r="A34" s="47" t="s">
        <v>73</v>
      </c>
      <c r="B34" s="3"/>
      <c r="C34" s="48">
        <f>C13-C32</f>
        <v>1790</v>
      </c>
      <c r="D34" s="3"/>
      <c r="E34" s="3"/>
      <c r="F34" s="3"/>
      <c r="G34" s="3"/>
      <c r="H34" s="3"/>
      <c r="I34" s="3"/>
    </row>
    <row r="35" spans="1: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</row>
    <row r="36" spans="1:9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</row>
    <row r="38" spans="1: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</row>
    <row r="40" spans="1:9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</row>
    <row r="41" spans="1:9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</row>
    <row r="43" spans="1: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</row>
    <row r="45" spans="1: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</row>
    <row r="46" spans="1: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</row>
    <row r="47" spans="1: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</row>
    <row r="48" spans="1:9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</row>
    <row r="49" spans="1: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</row>
    <row r="52" spans="1:9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</row>
    <row r="53" spans="1:9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</row>
    <row r="54" spans="1:9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</row>
    <row r="55" spans="1:9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</row>
    <row r="56" spans="1:9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</row>
    <row r="57" spans="1:9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</row>
    <row r="58" spans="1:9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</row>
    <row r="59" spans="1:9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59E0B"/>
  </sheetPr>
  <dimension ref="A1:I5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E1"/>
    </sheetView>
  </sheetViews>
  <sheetFormatPr baseColWidth="10" defaultColWidth="8.6328125" defaultRowHeight="14.5" x14ac:dyDescent="0.35"/>
  <cols>
    <col min="1" max="1" width="26" customWidth="1"/>
    <col min="2" max="2" width="18" customWidth="1"/>
    <col min="3" max="5" width="15" customWidth="1"/>
  </cols>
  <sheetData>
    <row r="1" spans="1:9" ht="27.75" customHeight="1" x14ac:dyDescent="0.35">
      <c r="A1" s="180" t="str">
        <f>"📅 JUN "&amp;'⚙ Setup'!$B$10&amp;"  ·  Monthly Budget"</f>
        <v>📅 JUN 2026  ·  Monthly Budget</v>
      </c>
      <c r="B1" s="180"/>
      <c r="C1" s="180"/>
      <c r="D1" s="180"/>
      <c r="E1" s="180"/>
      <c r="F1" s="3"/>
      <c r="G1" s="3"/>
      <c r="H1" s="3"/>
      <c r="I1" s="3"/>
    </row>
    <row r="2" spans="1:9" ht="15" customHeight="1" x14ac:dyDescent="0.35">
      <c r="A2" s="2" t="s">
        <v>56</v>
      </c>
      <c r="B2" s="3"/>
      <c r="C2" s="2" t="s">
        <v>57</v>
      </c>
      <c r="D2" s="3"/>
      <c r="E2" s="2" t="s">
        <v>58</v>
      </c>
      <c r="F2" s="3"/>
      <c r="G2" s="3"/>
      <c r="H2" s="3"/>
      <c r="I2" s="3"/>
    </row>
    <row r="3" spans="1:9" ht="18" customHeight="1" x14ac:dyDescent="0.35">
      <c r="A3" s="29">
        <f>C4</f>
        <v>5080</v>
      </c>
      <c r="B3" s="3"/>
      <c r="C3" s="30">
        <f>C5</f>
        <v>4375</v>
      </c>
      <c r="D3" s="3"/>
      <c r="E3" s="31">
        <f>C4-C5</f>
        <v>705</v>
      </c>
      <c r="F3" s="3"/>
      <c r="G3" s="3"/>
      <c r="H3" s="3"/>
      <c r="I3" s="3"/>
    </row>
    <row r="4" spans="1:9" ht="1.5" customHeight="1" x14ac:dyDescent="0.35">
      <c r="A4" s="3"/>
      <c r="B4" s="32" t="s">
        <v>59</v>
      </c>
      <c r="C4" s="32">
        <f>IFERROR(C13,0)</f>
        <v>5080</v>
      </c>
      <c r="D4" s="3"/>
      <c r="E4" s="3"/>
      <c r="F4" s="3"/>
      <c r="G4" s="3"/>
      <c r="H4" s="3"/>
      <c r="I4" s="3"/>
    </row>
    <row r="5" spans="1:9" ht="1.5" customHeight="1" x14ac:dyDescent="0.35">
      <c r="A5" s="3"/>
      <c r="B5" s="32" t="s">
        <v>60</v>
      </c>
      <c r="C5" s="32">
        <f>IFERROR(C32,0)</f>
        <v>4375</v>
      </c>
      <c r="D5" s="3"/>
      <c r="E5" s="3"/>
      <c r="F5" s="3"/>
      <c r="G5" s="3"/>
      <c r="H5" s="3"/>
      <c r="I5" s="3"/>
    </row>
    <row r="6" spans="1:9" ht="24" customHeight="1" x14ac:dyDescent="0.35">
      <c r="A6" s="5" t="s">
        <v>38</v>
      </c>
      <c r="B6" s="3"/>
      <c r="C6" s="3"/>
      <c r="D6" s="3"/>
      <c r="E6" s="3"/>
      <c r="F6" s="3"/>
      <c r="G6" s="3"/>
      <c r="H6" s="3"/>
      <c r="I6" s="3"/>
    </row>
    <row r="7" spans="1:9" ht="15" customHeight="1" x14ac:dyDescent="0.35">
      <c r="A7" s="33" t="s">
        <v>61</v>
      </c>
      <c r="B7" s="33" t="s">
        <v>62</v>
      </c>
      <c r="C7" s="33" t="s">
        <v>63</v>
      </c>
      <c r="D7" s="33" t="s">
        <v>64</v>
      </c>
      <c r="E7" s="33" t="s">
        <v>65</v>
      </c>
      <c r="F7" s="3"/>
      <c r="G7" s="3"/>
      <c r="H7" s="3"/>
      <c r="I7" s="3"/>
    </row>
    <row r="8" spans="1:9" ht="15" customHeight="1" x14ac:dyDescent="0.35">
      <c r="A8" s="34" t="s">
        <v>66</v>
      </c>
      <c r="B8" s="35"/>
      <c r="C8" s="16">
        <f>IFERROR('⚙ Setup'!$B$7,0)</f>
        <v>5000</v>
      </c>
      <c r="D8" s="16">
        <f>IFERROR(IF(ISNUMBER('⚙ Setup'!$B$7),'⚙ Setup'!$B$7,0),0)</f>
        <v>5000</v>
      </c>
      <c r="E8" s="36">
        <f>C8-D8</f>
        <v>0</v>
      </c>
      <c r="F8" s="3"/>
      <c r="G8" s="3"/>
      <c r="H8" s="3"/>
      <c r="I8" s="3"/>
    </row>
    <row r="9" spans="1:9" ht="15" customHeight="1" x14ac:dyDescent="0.35">
      <c r="A9" s="37" t="s">
        <v>67</v>
      </c>
      <c r="B9" s="38"/>
      <c r="C9" s="22">
        <v>0</v>
      </c>
      <c r="D9" s="22">
        <v>0</v>
      </c>
      <c r="E9" s="39">
        <f>C9-D9</f>
        <v>0</v>
      </c>
      <c r="F9" s="3"/>
      <c r="G9" s="3"/>
      <c r="H9" s="3"/>
      <c r="I9" s="3"/>
    </row>
    <row r="10" spans="1:9" ht="15" customHeight="1" x14ac:dyDescent="0.35">
      <c r="A10" s="34" t="s">
        <v>68</v>
      </c>
      <c r="B10" s="35"/>
      <c r="C10" s="16">
        <v>0</v>
      </c>
      <c r="D10" s="16">
        <v>200</v>
      </c>
      <c r="E10" s="36">
        <f>C10-D10</f>
        <v>-200</v>
      </c>
      <c r="F10" s="3"/>
      <c r="G10" s="3"/>
      <c r="H10" s="3"/>
      <c r="I10" s="3"/>
    </row>
    <row r="11" spans="1:9" ht="15" customHeight="1" x14ac:dyDescent="0.35">
      <c r="A11" s="37" t="s">
        <v>69</v>
      </c>
      <c r="B11" s="38"/>
      <c r="C11" s="22">
        <v>80</v>
      </c>
      <c r="D11" s="22">
        <v>50</v>
      </c>
      <c r="E11" s="39">
        <f>C11-D11</f>
        <v>30</v>
      </c>
      <c r="F11" s="3"/>
      <c r="G11" s="3"/>
      <c r="H11" s="3"/>
      <c r="I11" s="3"/>
    </row>
    <row r="12" spans="1:9" ht="15" customHeight="1" x14ac:dyDescent="0.35">
      <c r="A12" s="34" t="s">
        <v>70</v>
      </c>
      <c r="B12" s="35"/>
      <c r="C12" s="16">
        <v>0</v>
      </c>
      <c r="D12" s="16">
        <v>0</v>
      </c>
      <c r="E12" s="36">
        <f>C12-D12</f>
        <v>0</v>
      </c>
      <c r="F12" s="3"/>
      <c r="G12" s="3"/>
      <c r="H12" s="3"/>
      <c r="I12" s="3"/>
    </row>
    <row r="13" spans="1:9" ht="15" customHeight="1" x14ac:dyDescent="0.35">
      <c r="A13" s="40" t="s">
        <v>30</v>
      </c>
      <c r="B13" s="3"/>
      <c r="C13" s="41">
        <f>SUM(C8:C12)</f>
        <v>5080</v>
      </c>
      <c r="D13" s="42">
        <f>SUM(D8:D12)</f>
        <v>5250</v>
      </c>
      <c r="E13" s="3"/>
      <c r="F13" s="3"/>
      <c r="G13" s="3"/>
      <c r="H13" s="3"/>
      <c r="I13" s="3"/>
    </row>
    <row r="14" spans="1:9" ht="15" customHeight="1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9" ht="24" customHeight="1" x14ac:dyDescent="0.35">
      <c r="A15" s="5" t="s">
        <v>39</v>
      </c>
      <c r="B15" s="3"/>
      <c r="C15" s="3"/>
      <c r="D15" s="3"/>
      <c r="E15" s="3"/>
      <c r="F15" s="3"/>
      <c r="G15" s="3"/>
      <c r="H15" s="3"/>
      <c r="I15" s="3"/>
    </row>
    <row r="16" spans="1:9" ht="15" customHeight="1" x14ac:dyDescent="0.35">
      <c r="A16" s="33" t="s">
        <v>71</v>
      </c>
      <c r="B16" s="33" t="s">
        <v>62</v>
      </c>
      <c r="C16" s="33" t="s">
        <v>72</v>
      </c>
      <c r="D16" s="33" t="s">
        <v>64</v>
      </c>
      <c r="E16" s="33" t="s">
        <v>65</v>
      </c>
      <c r="F16" s="3"/>
      <c r="G16" s="3"/>
      <c r="H16" s="3"/>
      <c r="I16" s="3"/>
    </row>
    <row r="17" spans="1:9" ht="15" customHeight="1" x14ac:dyDescent="0.35">
      <c r="A17" s="34" t="s">
        <v>13</v>
      </c>
      <c r="B17" s="35"/>
      <c r="C17" s="16">
        <v>1500</v>
      </c>
      <c r="D17" s="16" cm="1">
        <f t="array" ref="D17">IFERROR(IF(ISNUMBER(INDEX('⚙ Setup'!$B:$B,ROW()-2)),INDEX('⚙ Setup'!$B:$B,ROW()-2),0),0)</f>
        <v>0</v>
      </c>
      <c r="E17" s="43">
        <f t="shared" ref="E17:E31" si="0">D17-C17</f>
        <v>-1500</v>
      </c>
      <c r="F17" s="3"/>
      <c r="G17" s="3"/>
      <c r="H17" s="3"/>
      <c r="I17" s="3"/>
    </row>
    <row r="18" spans="1:9" ht="15" customHeight="1" x14ac:dyDescent="0.35">
      <c r="A18" s="37" t="s">
        <v>15</v>
      </c>
      <c r="B18" s="38"/>
      <c r="C18" s="22">
        <v>360</v>
      </c>
      <c r="D18" s="22" cm="1">
        <f t="array" ref="D18">IFERROR(IF(ISNUMBER(INDEX('⚙ Setup'!$B:$B,ROW()-2)),INDEX('⚙ Setup'!$B:$B,ROW()-2),0),0)</f>
        <v>0</v>
      </c>
      <c r="E18" s="44">
        <f t="shared" si="0"/>
        <v>-360</v>
      </c>
      <c r="F18" s="3"/>
      <c r="G18" s="3"/>
      <c r="H18" s="3"/>
      <c r="I18" s="3"/>
    </row>
    <row r="19" spans="1:9" ht="15" customHeight="1" x14ac:dyDescent="0.35">
      <c r="A19" s="34" t="s">
        <v>16</v>
      </c>
      <c r="B19" s="35"/>
      <c r="C19" s="16">
        <v>700</v>
      </c>
      <c r="D19" s="16" cm="1">
        <f t="array" ref="D19">IFERROR(IF(ISNUMBER(INDEX('⚙ Setup'!$B:$B,ROW()-2)),INDEX('⚙ Setup'!$B:$B,ROW()-2),0),0)</f>
        <v>0</v>
      </c>
      <c r="E19" s="43">
        <f t="shared" si="0"/>
        <v>-700</v>
      </c>
      <c r="F19" s="3"/>
      <c r="G19" s="3"/>
      <c r="H19" s="3"/>
      <c r="I19" s="3"/>
    </row>
    <row r="20" spans="1:9" ht="15" customHeight="1" x14ac:dyDescent="0.35">
      <c r="A20" s="37" t="s">
        <v>17</v>
      </c>
      <c r="B20" s="38"/>
      <c r="C20" s="22">
        <v>140</v>
      </c>
      <c r="D20" s="22" cm="1">
        <f t="array" ref="D20">IFERROR(IF(ISNUMBER(INDEX('⚙ Setup'!$B:$B,ROW()-2)),INDEX('⚙ Setup'!$B:$B,ROW()-2),0),0)</f>
        <v>0</v>
      </c>
      <c r="E20" s="44">
        <f t="shared" si="0"/>
        <v>-140</v>
      </c>
      <c r="F20" s="3"/>
      <c r="G20" s="3"/>
      <c r="H20" s="3"/>
      <c r="I20" s="3"/>
    </row>
    <row r="21" spans="1:9" ht="15" customHeight="1" x14ac:dyDescent="0.35">
      <c r="A21" s="34" t="s">
        <v>18</v>
      </c>
      <c r="B21" s="35"/>
      <c r="C21" s="16">
        <v>250</v>
      </c>
      <c r="D21" s="16" cm="1">
        <f t="array" ref="D21">IFERROR(IF(ISNUMBER(INDEX('⚙ Setup'!$B:$B,ROW()-2)),INDEX('⚙ Setup'!$B:$B,ROW()-2),0),0)</f>
        <v>0</v>
      </c>
      <c r="E21" s="43">
        <f t="shared" si="0"/>
        <v>-250</v>
      </c>
      <c r="F21" s="3"/>
      <c r="G21" s="3"/>
      <c r="H21" s="3"/>
      <c r="I21" s="3"/>
    </row>
    <row r="22" spans="1:9" ht="15" customHeight="1" x14ac:dyDescent="0.35">
      <c r="A22" s="37" t="s">
        <v>19</v>
      </c>
      <c r="B22" s="38"/>
      <c r="C22" s="22">
        <v>120</v>
      </c>
      <c r="D22" s="22" cm="1">
        <f t="array" ref="D22">IFERROR(IF(ISNUMBER(INDEX('⚙ Setup'!$B:$B,ROW()-2)),INDEX('⚙ Setup'!$B:$B,ROW()-2),0),0)</f>
        <v>0</v>
      </c>
      <c r="E22" s="44">
        <f t="shared" si="0"/>
        <v>-120</v>
      </c>
      <c r="F22" s="3"/>
      <c r="G22" s="3"/>
      <c r="H22" s="3"/>
      <c r="I22" s="3"/>
    </row>
    <row r="23" spans="1:9" ht="15" customHeight="1" x14ac:dyDescent="0.35">
      <c r="A23" s="34" t="s">
        <v>20</v>
      </c>
      <c r="B23" s="35"/>
      <c r="C23" s="16">
        <v>200</v>
      </c>
      <c r="D23" s="16" cm="1">
        <f t="array" ref="D23">IFERROR(IF(ISNUMBER(INDEX('⚙ Setup'!$B:$B,ROW()-2)),INDEX('⚙ Setup'!$B:$B,ROW()-2),0),0)</f>
        <v>0</v>
      </c>
      <c r="E23" s="43">
        <f t="shared" si="0"/>
        <v>-200</v>
      </c>
      <c r="F23" s="3"/>
      <c r="G23" s="3"/>
      <c r="H23" s="3"/>
      <c r="I23" s="3"/>
    </row>
    <row r="24" spans="1:9" ht="15" customHeight="1" x14ac:dyDescent="0.35">
      <c r="A24" s="37" t="s">
        <v>21</v>
      </c>
      <c r="B24" s="38"/>
      <c r="C24" s="22">
        <v>0</v>
      </c>
      <c r="D24" s="22" cm="1">
        <f t="array" ref="D24">IFERROR(IF(ISNUMBER(INDEX('⚙ Setup'!$B:$B,ROW()-2)),INDEX('⚙ Setup'!$B:$B,ROW()-2),0),0)</f>
        <v>0</v>
      </c>
      <c r="E24" s="44">
        <f t="shared" si="0"/>
        <v>0</v>
      </c>
      <c r="F24" s="3"/>
      <c r="G24" s="3"/>
      <c r="H24" s="3"/>
      <c r="I24" s="3"/>
    </row>
    <row r="25" spans="1:9" ht="15" customHeight="1" x14ac:dyDescent="0.35">
      <c r="A25" s="34" t="s">
        <v>22</v>
      </c>
      <c r="B25" s="35"/>
      <c r="C25" s="16">
        <v>80</v>
      </c>
      <c r="D25" s="16" cm="1">
        <f t="array" ref="D25">IFERROR(IF(ISNUMBER(INDEX('⚙ Setup'!$B:$B,ROW()-2)),INDEX('⚙ Setup'!$B:$B,ROW()-2),0),0)</f>
        <v>0</v>
      </c>
      <c r="E25" s="43">
        <f t="shared" si="0"/>
        <v>-80</v>
      </c>
      <c r="F25" s="3"/>
      <c r="G25" s="3"/>
      <c r="H25" s="3"/>
      <c r="I25" s="3"/>
    </row>
    <row r="26" spans="1:9" ht="15" customHeight="1" x14ac:dyDescent="0.35">
      <c r="A26" s="37" t="s">
        <v>23</v>
      </c>
      <c r="B26" s="38"/>
      <c r="C26" s="22">
        <v>0</v>
      </c>
      <c r="D26" s="22" cm="1">
        <f t="array" ref="D26">IFERROR(IF(ISNUMBER(INDEX('⚙ Setup'!$B:$B,ROW()-2)),INDEX('⚙ Setup'!$B:$B,ROW()-2),0),0)</f>
        <v>0</v>
      </c>
      <c r="E26" s="44">
        <f t="shared" si="0"/>
        <v>0</v>
      </c>
      <c r="F26" s="3"/>
      <c r="G26" s="3"/>
      <c r="H26" s="3"/>
      <c r="I26" s="3"/>
    </row>
    <row r="27" spans="1:9" ht="15" customHeight="1" x14ac:dyDescent="0.35">
      <c r="A27" s="34" t="s">
        <v>24</v>
      </c>
      <c r="B27" s="35"/>
      <c r="C27" s="16">
        <v>75</v>
      </c>
      <c r="D27" s="16" cm="1">
        <f t="array" ref="D27">IFERROR(IF(ISNUMBER(INDEX('⚙ Setup'!$B:$B,ROW()-2)),INDEX('⚙ Setup'!$B:$B,ROW()-2),0),0)</f>
        <v>0</v>
      </c>
      <c r="E27" s="43">
        <f t="shared" si="0"/>
        <v>-75</v>
      </c>
      <c r="F27" s="3"/>
      <c r="G27" s="3"/>
      <c r="H27" s="3"/>
      <c r="I27" s="3"/>
    </row>
    <row r="28" spans="1:9" ht="15" customHeight="1" x14ac:dyDescent="0.35">
      <c r="A28" s="37" t="s">
        <v>25</v>
      </c>
      <c r="B28" s="38"/>
      <c r="C28" s="22">
        <v>0</v>
      </c>
      <c r="D28" s="22" cm="1">
        <f t="array" ref="D28">IFERROR(IF(ISNUMBER(INDEX('⚙ Setup'!$B:$B,ROW()-2)),INDEX('⚙ Setup'!$B:$B,ROW()-2),0),0)</f>
        <v>0</v>
      </c>
      <c r="E28" s="44">
        <f t="shared" si="0"/>
        <v>0</v>
      </c>
      <c r="F28" s="3"/>
      <c r="G28" s="3"/>
      <c r="H28" s="3"/>
      <c r="I28" s="3"/>
    </row>
    <row r="29" spans="1:9" ht="15" customHeight="1" x14ac:dyDescent="0.35">
      <c r="A29" s="34" t="s">
        <v>26</v>
      </c>
      <c r="B29" s="35"/>
      <c r="C29" s="16">
        <v>30</v>
      </c>
      <c r="D29" s="16" cm="1">
        <f t="array" ref="D29">IFERROR(IF(ISNUMBER(INDEX('⚙ Setup'!$B:$B,ROW()-2)),INDEX('⚙ Setup'!$B:$B,ROW()-2),0),0)</f>
        <v>0</v>
      </c>
      <c r="E29" s="43">
        <f t="shared" si="0"/>
        <v>-30</v>
      </c>
      <c r="F29" s="3"/>
      <c r="G29" s="3"/>
      <c r="H29" s="3"/>
      <c r="I29" s="3"/>
    </row>
    <row r="30" spans="1:9" ht="15" customHeight="1" x14ac:dyDescent="0.35">
      <c r="A30" s="37" t="s">
        <v>27</v>
      </c>
      <c r="B30" s="38"/>
      <c r="C30" s="22">
        <v>800</v>
      </c>
      <c r="D30" s="22" cm="1">
        <f t="array" ref="D30">IFERROR(IF(ISNUMBER(INDEX('⚙ Setup'!$B:$B,ROW()-2)),INDEX('⚙ Setup'!$B:$B,ROW()-2),0),0)</f>
        <v>0</v>
      </c>
      <c r="E30" s="44">
        <f t="shared" si="0"/>
        <v>-800</v>
      </c>
      <c r="F30" s="3"/>
      <c r="G30" s="3"/>
      <c r="H30" s="3"/>
      <c r="I30" s="3"/>
    </row>
    <row r="31" spans="1:9" ht="15" customHeight="1" x14ac:dyDescent="0.35">
      <c r="A31" s="34" t="s">
        <v>28</v>
      </c>
      <c r="B31" s="35"/>
      <c r="C31" s="16">
        <v>120</v>
      </c>
      <c r="D31" s="16" cm="1">
        <f t="array" ref="D31">IFERROR(IF(ISNUMBER(INDEX('⚙ Setup'!$B:$B,ROW()-2)),INDEX('⚙ Setup'!$B:$B,ROW()-2),0),0)</f>
        <v>0</v>
      </c>
      <c r="E31" s="43">
        <f t="shared" si="0"/>
        <v>-120</v>
      </c>
      <c r="F31" s="3"/>
      <c r="G31" s="3"/>
      <c r="H31" s="3"/>
      <c r="I31" s="3"/>
    </row>
    <row r="32" spans="1:9" ht="15" customHeight="1" x14ac:dyDescent="0.35">
      <c r="A32" s="45" t="s">
        <v>31</v>
      </c>
      <c r="B32" s="3"/>
      <c r="C32" s="46">
        <f>SUM(C17:C31)</f>
        <v>4375</v>
      </c>
      <c r="D32" s="42">
        <f>SUM(D17:D31)</f>
        <v>0</v>
      </c>
      <c r="E32" s="3"/>
      <c r="F32" s="3"/>
      <c r="G32" s="3"/>
      <c r="H32" s="3"/>
      <c r="I32" s="3"/>
    </row>
    <row r="33" spans="1:9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35">
      <c r="A34" s="47" t="s">
        <v>73</v>
      </c>
      <c r="B34" s="3"/>
      <c r="C34" s="48">
        <f>C13-C32</f>
        <v>705</v>
      </c>
      <c r="D34" s="3"/>
      <c r="E34" s="3"/>
      <c r="F34" s="3"/>
      <c r="G34" s="3"/>
      <c r="H34" s="3"/>
      <c r="I34" s="3"/>
    </row>
    <row r="35" spans="1: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</row>
    <row r="36" spans="1:9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</row>
    <row r="38" spans="1: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</row>
    <row r="40" spans="1:9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</row>
    <row r="41" spans="1:9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</row>
    <row r="43" spans="1: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</row>
    <row r="45" spans="1: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</row>
    <row r="46" spans="1: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</row>
    <row r="47" spans="1: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</row>
    <row r="48" spans="1:9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</row>
    <row r="49" spans="1: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</row>
    <row r="52" spans="1:9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</row>
    <row r="53" spans="1:9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</row>
    <row r="54" spans="1:9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</row>
    <row r="55" spans="1:9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</row>
    <row r="56" spans="1:9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</row>
    <row r="57" spans="1:9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</row>
    <row r="58" spans="1:9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</row>
    <row r="59" spans="1:9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59E0B"/>
  </sheetPr>
  <dimension ref="A1:I5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E1"/>
    </sheetView>
  </sheetViews>
  <sheetFormatPr baseColWidth="10" defaultColWidth="8.6328125" defaultRowHeight="14.5" x14ac:dyDescent="0.35"/>
  <cols>
    <col min="1" max="1" width="26" customWidth="1"/>
    <col min="2" max="2" width="18" customWidth="1"/>
    <col min="3" max="5" width="15" customWidth="1"/>
  </cols>
  <sheetData>
    <row r="1" spans="1:9" ht="27.75" customHeight="1" x14ac:dyDescent="0.35">
      <c r="A1" s="180" t="str">
        <f>"📅 JUL "&amp;'⚙ Setup'!$B$10&amp;"  ·  Monthly Budget"</f>
        <v>📅 JUL 2026  ·  Monthly Budget</v>
      </c>
      <c r="B1" s="180"/>
      <c r="C1" s="180"/>
      <c r="D1" s="180"/>
      <c r="E1" s="180"/>
      <c r="F1" s="3"/>
      <c r="G1" s="3"/>
      <c r="H1" s="3"/>
      <c r="I1" s="3"/>
    </row>
    <row r="2" spans="1:9" ht="15" customHeight="1" x14ac:dyDescent="0.35">
      <c r="A2" s="2" t="s">
        <v>56</v>
      </c>
      <c r="B2" s="3"/>
      <c r="C2" s="2" t="s">
        <v>57</v>
      </c>
      <c r="D2" s="3"/>
      <c r="E2" s="2" t="s">
        <v>58</v>
      </c>
      <c r="F2" s="3"/>
      <c r="G2" s="3"/>
      <c r="H2" s="3"/>
      <c r="I2" s="3"/>
    </row>
    <row r="3" spans="1:9" ht="18" customHeight="1" x14ac:dyDescent="0.35">
      <c r="A3" s="29">
        <f>C4</f>
        <v>5880</v>
      </c>
      <c r="B3" s="3"/>
      <c r="C3" s="30">
        <f>C5</f>
        <v>3430</v>
      </c>
      <c r="D3" s="3"/>
      <c r="E3" s="31">
        <f>C4-C5</f>
        <v>2450</v>
      </c>
      <c r="F3" s="3"/>
      <c r="G3" s="3"/>
      <c r="H3" s="3"/>
      <c r="I3" s="3"/>
    </row>
    <row r="4" spans="1:9" ht="1.5" customHeight="1" x14ac:dyDescent="0.35">
      <c r="A4" s="3"/>
      <c r="B4" s="32" t="s">
        <v>59</v>
      </c>
      <c r="C4" s="32">
        <f>IFERROR(C13,0)</f>
        <v>5880</v>
      </c>
      <c r="D4" s="3"/>
      <c r="E4" s="3"/>
      <c r="F4" s="3"/>
      <c r="G4" s="3"/>
      <c r="H4" s="3"/>
      <c r="I4" s="3"/>
    </row>
    <row r="5" spans="1:9" ht="1.5" customHeight="1" x14ac:dyDescent="0.35">
      <c r="A5" s="3"/>
      <c r="B5" s="32" t="s">
        <v>60</v>
      </c>
      <c r="C5" s="32">
        <f>IFERROR(C32,0)</f>
        <v>3430</v>
      </c>
      <c r="D5" s="3"/>
      <c r="E5" s="3"/>
      <c r="F5" s="3"/>
      <c r="G5" s="3"/>
      <c r="H5" s="3"/>
      <c r="I5" s="3"/>
    </row>
    <row r="6" spans="1:9" ht="24" customHeight="1" x14ac:dyDescent="0.35">
      <c r="A6" s="5" t="s">
        <v>38</v>
      </c>
      <c r="B6" s="3"/>
      <c r="C6" s="3"/>
      <c r="D6" s="3"/>
      <c r="E6" s="3"/>
      <c r="F6" s="3"/>
      <c r="G6" s="3"/>
      <c r="H6" s="3"/>
      <c r="I6" s="3"/>
    </row>
    <row r="7" spans="1:9" ht="15" customHeight="1" x14ac:dyDescent="0.35">
      <c r="A7" s="33" t="s">
        <v>61</v>
      </c>
      <c r="B7" s="33" t="s">
        <v>62</v>
      </c>
      <c r="C7" s="33" t="s">
        <v>63</v>
      </c>
      <c r="D7" s="33" t="s">
        <v>64</v>
      </c>
      <c r="E7" s="33" t="s">
        <v>65</v>
      </c>
      <c r="F7" s="3"/>
      <c r="G7" s="3"/>
      <c r="H7" s="3"/>
      <c r="I7" s="3"/>
    </row>
    <row r="8" spans="1:9" ht="15" customHeight="1" x14ac:dyDescent="0.35">
      <c r="A8" s="34" t="s">
        <v>66</v>
      </c>
      <c r="B8" s="35"/>
      <c r="C8" s="16">
        <f>IFERROR('⚙ Setup'!$B$7,0)</f>
        <v>5000</v>
      </c>
      <c r="D8" s="16">
        <f>IFERROR(IF(ISNUMBER('⚙ Setup'!$B$7),'⚙ Setup'!$B$7,0),0)</f>
        <v>5000</v>
      </c>
      <c r="E8" s="36">
        <f>C8-D8</f>
        <v>0</v>
      </c>
      <c r="F8" s="3"/>
      <c r="G8" s="3"/>
      <c r="H8" s="3"/>
      <c r="I8" s="3"/>
    </row>
    <row r="9" spans="1:9" ht="15" customHeight="1" x14ac:dyDescent="0.35">
      <c r="A9" s="37" t="s">
        <v>67</v>
      </c>
      <c r="B9" s="38"/>
      <c r="C9" s="22">
        <v>0</v>
      </c>
      <c r="D9" s="22">
        <v>0</v>
      </c>
      <c r="E9" s="39">
        <f>C9-D9</f>
        <v>0</v>
      </c>
      <c r="F9" s="3"/>
      <c r="G9" s="3"/>
      <c r="H9" s="3"/>
      <c r="I9" s="3"/>
    </row>
    <row r="10" spans="1:9" ht="15" customHeight="1" x14ac:dyDescent="0.35">
      <c r="A10" s="34" t="s">
        <v>68</v>
      </c>
      <c r="B10" s="35"/>
      <c r="C10" s="16">
        <v>800</v>
      </c>
      <c r="D10" s="16">
        <v>200</v>
      </c>
      <c r="E10" s="36">
        <f>C10-D10</f>
        <v>600</v>
      </c>
      <c r="F10" s="3"/>
      <c r="G10" s="3"/>
      <c r="H10" s="3"/>
      <c r="I10" s="3"/>
    </row>
    <row r="11" spans="1:9" ht="15" customHeight="1" x14ac:dyDescent="0.35">
      <c r="A11" s="37" t="s">
        <v>69</v>
      </c>
      <c r="B11" s="38"/>
      <c r="C11" s="22">
        <v>80</v>
      </c>
      <c r="D11" s="22">
        <v>50</v>
      </c>
      <c r="E11" s="39">
        <f>C11-D11</f>
        <v>30</v>
      </c>
      <c r="F11" s="3"/>
      <c r="G11" s="3"/>
      <c r="H11" s="3"/>
      <c r="I11" s="3"/>
    </row>
    <row r="12" spans="1:9" ht="15" customHeight="1" x14ac:dyDescent="0.35">
      <c r="A12" s="34" t="s">
        <v>70</v>
      </c>
      <c r="B12" s="35"/>
      <c r="C12" s="16">
        <v>0</v>
      </c>
      <c r="D12" s="16">
        <v>0</v>
      </c>
      <c r="E12" s="36">
        <f>C12-D12</f>
        <v>0</v>
      </c>
      <c r="F12" s="3"/>
      <c r="G12" s="3"/>
      <c r="H12" s="3"/>
      <c r="I12" s="3"/>
    </row>
    <row r="13" spans="1:9" ht="15" customHeight="1" x14ac:dyDescent="0.35">
      <c r="A13" s="40" t="s">
        <v>30</v>
      </c>
      <c r="B13" s="3"/>
      <c r="C13" s="41">
        <f>SUM(C8:C12)</f>
        <v>5880</v>
      </c>
      <c r="D13" s="42">
        <f>SUM(D8:D12)</f>
        <v>5250</v>
      </c>
      <c r="E13" s="3"/>
      <c r="F13" s="3"/>
      <c r="G13" s="3"/>
      <c r="H13" s="3"/>
      <c r="I13" s="3"/>
    </row>
    <row r="14" spans="1:9" ht="15" customHeight="1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9" ht="24" customHeight="1" x14ac:dyDescent="0.35">
      <c r="A15" s="5" t="s">
        <v>39</v>
      </c>
      <c r="B15" s="3"/>
      <c r="C15" s="3"/>
      <c r="D15" s="3"/>
      <c r="E15" s="3"/>
      <c r="F15" s="3"/>
      <c r="G15" s="3"/>
      <c r="H15" s="3"/>
      <c r="I15" s="3"/>
    </row>
    <row r="16" spans="1:9" ht="15" customHeight="1" x14ac:dyDescent="0.35">
      <c r="A16" s="33" t="s">
        <v>71</v>
      </c>
      <c r="B16" s="33" t="s">
        <v>62</v>
      </c>
      <c r="C16" s="33" t="s">
        <v>72</v>
      </c>
      <c r="D16" s="33" t="s">
        <v>64</v>
      </c>
      <c r="E16" s="33" t="s">
        <v>65</v>
      </c>
      <c r="F16" s="3"/>
      <c r="G16" s="3"/>
      <c r="H16" s="3"/>
      <c r="I16" s="3"/>
    </row>
    <row r="17" spans="1:9" ht="15" customHeight="1" x14ac:dyDescent="0.35">
      <c r="A17" s="34" t="s">
        <v>13</v>
      </c>
      <c r="B17" s="35"/>
      <c r="C17" s="16">
        <v>1500</v>
      </c>
      <c r="D17" s="16" cm="1">
        <f t="array" ref="D17">IFERROR(IF(ISNUMBER(INDEX('⚙ Setup'!$B:$B,ROW()-2)),INDEX('⚙ Setup'!$B:$B,ROW()-2),0),0)</f>
        <v>0</v>
      </c>
      <c r="E17" s="43">
        <f t="shared" ref="E17:E31" si="0">D17-C17</f>
        <v>-1500</v>
      </c>
      <c r="F17" s="3"/>
      <c r="G17" s="3"/>
      <c r="H17" s="3"/>
      <c r="I17" s="3"/>
    </row>
    <row r="18" spans="1:9" ht="15" customHeight="1" x14ac:dyDescent="0.35">
      <c r="A18" s="37" t="s">
        <v>15</v>
      </c>
      <c r="B18" s="38"/>
      <c r="C18" s="22">
        <v>330</v>
      </c>
      <c r="D18" s="22" cm="1">
        <f t="array" ref="D18">IFERROR(IF(ISNUMBER(INDEX('⚙ Setup'!$B:$B,ROW()-2)),INDEX('⚙ Setup'!$B:$B,ROW()-2),0),0)</f>
        <v>0</v>
      </c>
      <c r="E18" s="44">
        <f t="shared" si="0"/>
        <v>-330</v>
      </c>
      <c r="F18" s="3"/>
      <c r="G18" s="3"/>
      <c r="H18" s="3"/>
      <c r="I18" s="3"/>
    </row>
    <row r="19" spans="1:9" ht="15" customHeight="1" x14ac:dyDescent="0.35">
      <c r="A19" s="34" t="s">
        <v>16</v>
      </c>
      <c r="B19" s="35"/>
      <c r="C19" s="16">
        <v>680</v>
      </c>
      <c r="D19" s="16" cm="1">
        <f t="array" ref="D19">IFERROR(IF(ISNUMBER(INDEX('⚙ Setup'!$B:$B,ROW()-2)),INDEX('⚙ Setup'!$B:$B,ROW()-2),0),0)</f>
        <v>0</v>
      </c>
      <c r="E19" s="43">
        <f t="shared" si="0"/>
        <v>-680</v>
      </c>
      <c r="F19" s="3"/>
      <c r="G19" s="3"/>
      <c r="H19" s="3"/>
      <c r="I19" s="3"/>
    </row>
    <row r="20" spans="1:9" ht="15" customHeight="1" x14ac:dyDescent="0.35">
      <c r="A20" s="37" t="s">
        <v>17</v>
      </c>
      <c r="B20" s="38"/>
      <c r="C20" s="22">
        <v>130</v>
      </c>
      <c r="D20" s="22" cm="1">
        <f t="array" ref="D20">IFERROR(IF(ISNUMBER(INDEX('⚙ Setup'!$B:$B,ROW()-2)),INDEX('⚙ Setup'!$B:$B,ROW()-2),0),0)</f>
        <v>0</v>
      </c>
      <c r="E20" s="44">
        <f t="shared" si="0"/>
        <v>-130</v>
      </c>
      <c r="F20" s="3"/>
      <c r="G20" s="3"/>
      <c r="H20" s="3"/>
      <c r="I20" s="3"/>
    </row>
    <row r="21" spans="1:9" ht="15" customHeight="1" x14ac:dyDescent="0.35">
      <c r="A21" s="34" t="s">
        <v>18</v>
      </c>
      <c r="B21" s="35"/>
      <c r="C21" s="16">
        <v>250</v>
      </c>
      <c r="D21" s="16" cm="1">
        <f t="array" ref="D21">IFERROR(IF(ISNUMBER(INDEX('⚙ Setup'!$B:$B,ROW()-2)),INDEX('⚙ Setup'!$B:$B,ROW()-2),0),0)</f>
        <v>0</v>
      </c>
      <c r="E21" s="43">
        <f t="shared" si="0"/>
        <v>-250</v>
      </c>
      <c r="F21" s="3"/>
      <c r="G21" s="3"/>
      <c r="H21" s="3"/>
      <c r="I21" s="3"/>
    </row>
    <row r="22" spans="1:9" ht="15" customHeight="1" x14ac:dyDescent="0.35">
      <c r="A22" s="37" t="s">
        <v>19</v>
      </c>
      <c r="B22" s="38"/>
      <c r="C22" s="22">
        <v>0</v>
      </c>
      <c r="D22" s="22" cm="1">
        <f t="array" ref="D22">IFERROR(IF(ISNUMBER(INDEX('⚙ Setup'!$B:$B,ROW()-2)),INDEX('⚙ Setup'!$B:$B,ROW()-2),0),0)</f>
        <v>0</v>
      </c>
      <c r="E22" s="44">
        <f t="shared" si="0"/>
        <v>0</v>
      </c>
      <c r="F22" s="3"/>
      <c r="G22" s="3"/>
      <c r="H22" s="3"/>
      <c r="I22" s="3"/>
    </row>
    <row r="23" spans="1:9" ht="15" customHeight="1" x14ac:dyDescent="0.35">
      <c r="A23" s="34" t="s">
        <v>20</v>
      </c>
      <c r="B23" s="35"/>
      <c r="C23" s="16">
        <v>160</v>
      </c>
      <c r="D23" s="16" cm="1">
        <f t="array" ref="D23">IFERROR(IF(ISNUMBER(INDEX('⚙ Setup'!$B:$B,ROW()-2)),INDEX('⚙ Setup'!$B:$B,ROW()-2),0),0)</f>
        <v>0</v>
      </c>
      <c r="E23" s="43">
        <f t="shared" si="0"/>
        <v>-160</v>
      </c>
      <c r="F23" s="3"/>
      <c r="G23" s="3"/>
      <c r="H23" s="3"/>
      <c r="I23" s="3"/>
    </row>
    <row r="24" spans="1:9" ht="15" customHeight="1" x14ac:dyDescent="0.35">
      <c r="A24" s="37" t="s">
        <v>21</v>
      </c>
      <c r="B24" s="38"/>
      <c r="C24" s="22">
        <v>80</v>
      </c>
      <c r="D24" s="22" cm="1">
        <f t="array" ref="D24">IFERROR(IF(ISNUMBER(INDEX('⚙ Setup'!$B:$B,ROW()-2)),INDEX('⚙ Setup'!$B:$B,ROW()-2),0),0)</f>
        <v>0</v>
      </c>
      <c r="E24" s="44">
        <f t="shared" si="0"/>
        <v>-80</v>
      </c>
      <c r="F24" s="3"/>
      <c r="G24" s="3"/>
      <c r="H24" s="3"/>
      <c r="I24" s="3"/>
    </row>
    <row r="25" spans="1:9" ht="15" customHeight="1" x14ac:dyDescent="0.35">
      <c r="A25" s="34" t="s">
        <v>22</v>
      </c>
      <c r="B25" s="35"/>
      <c r="C25" s="16">
        <v>75</v>
      </c>
      <c r="D25" s="16" cm="1">
        <f t="array" ref="D25">IFERROR(IF(ISNUMBER(INDEX('⚙ Setup'!$B:$B,ROW()-2)),INDEX('⚙ Setup'!$B:$B,ROW()-2),0),0)</f>
        <v>0</v>
      </c>
      <c r="E25" s="43">
        <f t="shared" si="0"/>
        <v>-75</v>
      </c>
      <c r="F25" s="3"/>
      <c r="G25" s="3"/>
      <c r="H25" s="3"/>
      <c r="I25" s="3"/>
    </row>
    <row r="26" spans="1:9" ht="15" customHeight="1" x14ac:dyDescent="0.35">
      <c r="A26" s="37" t="s">
        <v>23</v>
      </c>
      <c r="B26" s="38"/>
      <c r="C26" s="22">
        <v>0</v>
      </c>
      <c r="D26" s="22" cm="1">
        <f t="array" ref="D26">IFERROR(IF(ISNUMBER(INDEX('⚙ Setup'!$B:$B,ROW()-2)),INDEX('⚙ Setup'!$B:$B,ROW()-2),0),0)</f>
        <v>0</v>
      </c>
      <c r="E26" s="44">
        <f t="shared" si="0"/>
        <v>0</v>
      </c>
      <c r="F26" s="3"/>
      <c r="G26" s="3"/>
      <c r="H26" s="3"/>
      <c r="I26" s="3"/>
    </row>
    <row r="27" spans="1:9" ht="15" customHeight="1" x14ac:dyDescent="0.35">
      <c r="A27" s="34" t="s">
        <v>24</v>
      </c>
      <c r="B27" s="35"/>
      <c r="C27" s="16">
        <v>75</v>
      </c>
      <c r="D27" s="16" cm="1">
        <f t="array" ref="D27">IFERROR(IF(ISNUMBER(INDEX('⚙ Setup'!$B:$B,ROW()-2)),INDEX('⚙ Setup'!$B:$B,ROW()-2),0),0)</f>
        <v>0</v>
      </c>
      <c r="E27" s="43">
        <f t="shared" si="0"/>
        <v>-75</v>
      </c>
      <c r="F27" s="3"/>
      <c r="G27" s="3"/>
      <c r="H27" s="3"/>
      <c r="I27" s="3"/>
    </row>
    <row r="28" spans="1:9" ht="15" customHeight="1" x14ac:dyDescent="0.35">
      <c r="A28" s="37" t="s">
        <v>25</v>
      </c>
      <c r="B28" s="38"/>
      <c r="C28" s="22">
        <v>0</v>
      </c>
      <c r="D28" s="22" cm="1">
        <f t="array" ref="D28">IFERROR(IF(ISNUMBER(INDEX('⚙ Setup'!$B:$B,ROW()-2)),INDEX('⚙ Setup'!$B:$B,ROW()-2),0),0)</f>
        <v>0</v>
      </c>
      <c r="E28" s="44">
        <f t="shared" si="0"/>
        <v>0</v>
      </c>
      <c r="F28" s="3"/>
      <c r="G28" s="3"/>
      <c r="H28" s="3"/>
      <c r="I28" s="3"/>
    </row>
    <row r="29" spans="1:9" ht="15" customHeight="1" x14ac:dyDescent="0.35">
      <c r="A29" s="34" t="s">
        <v>26</v>
      </c>
      <c r="B29" s="35"/>
      <c r="C29" s="16">
        <v>50</v>
      </c>
      <c r="D29" s="16" cm="1">
        <f t="array" ref="D29">IFERROR(IF(ISNUMBER(INDEX('⚙ Setup'!$B:$B,ROW()-2)),INDEX('⚙ Setup'!$B:$B,ROW()-2),0),0)</f>
        <v>0</v>
      </c>
      <c r="E29" s="43">
        <f t="shared" si="0"/>
        <v>-50</v>
      </c>
      <c r="F29" s="3"/>
      <c r="G29" s="3"/>
      <c r="H29" s="3"/>
      <c r="I29" s="3"/>
    </row>
    <row r="30" spans="1:9" ht="15" customHeight="1" x14ac:dyDescent="0.35">
      <c r="A30" s="37" t="s">
        <v>27</v>
      </c>
      <c r="B30" s="38"/>
      <c r="C30" s="22">
        <v>0</v>
      </c>
      <c r="D30" s="22" cm="1">
        <f t="array" ref="D30">IFERROR(IF(ISNUMBER(INDEX('⚙ Setup'!$B:$B,ROW()-2)),INDEX('⚙ Setup'!$B:$B,ROW()-2),0),0)</f>
        <v>0</v>
      </c>
      <c r="E30" s="44">
        <f t="shared" si="0"/>
        <v>0</v>
      </c>
      <c r="F30" s="3"/>
      <c r="G30" s="3"/>
      <c r="H30" s="3"/>
      <c r="I30" s="3"/>
    </row>
    <row r="31" spans="1:9" ht="15" customHeight="1" x14ac:dyDescent="0.35">
      <c r="A31" s="34" t="s">
        <v>28</v>
      </c>
      <c r="B31" s="35"/>
      <c r="C31" s="16">
        <v>100</v>
      </c>
      <c r="D31" s="16" cm="1">
        <f t="array" ref="D31">IFERROR(IF(ISNUMBER(INDEX('⚙ Setup'!$B:$B,ROW()-2)),INDEX('⚙ Setup'!$B:$B,ROW()-2),0),0)</f>
        <v>0</v>
      </c>
      <c r="E31" s="43">
        <f t="shared" si="0"/>
        <v>-100</v>
      </c>
      <c r="F31" s="3"/>
      <c r="G31" s="3"/>
      <c r="H31" s="3"/>
      <c r="I31" s="3"/>
    </row>
    <row r="32" spans="1:9" ht="15" customHeight="1" x14ac:dyDescent="0.35">
      <c r="A32" s="45" t="s">
        <v>31</v>
      </c>
      <c r="B32" s="3"/>
      <c r="C32" s="46">
        <f>SUM(C17:C31)</f>
        <v>3430</v>
      </c>
      <c r="D32" s="42">
        <f>SUM(D17:D31)</f>
        <v>0</v>
      </c>
      <c r="E32" s="3"/>
      <c r="F32" s="3"/>
      <c r="G32" s="3"/>
      <c r="H32" s="3"/>
      <c r="I32" s="3"/>
    </row>
    <row r="33" spans="1:9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35">
      <c r="A34" s="47" t="s">
        <v>73</v>
      </c>
      <c r="B34" s="3"/>
      <c r="C34" s="48">
        <f>C13-C32</f>
        <v>2450</v>
      </c>
      <c r="D34" s="3"/>
      <c r="E34" s="3"/>
      <c r="F34" s="3"/>
      <c r="G34" s="3"/>
      <c r="H34" s="3"/>
      <c r="I34" s="3"/>
    </row>
    <row r="35" spans="1: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</row>
    <row r="36" spans="1:9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</row>
    <row r="38" spans="1: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</row>
    <row r="40" spans="1:9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</row>
    <row r="41" spans="1:9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</row>
    <row r="43" spans="1: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</row>
    <row r="45" spans="1: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</row>
    <row r="46" spans="1: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</row>
    <row r="47" spans="1: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</row>
    <row r="48" spans="1:9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</row>
    <row r="49" spans="1: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</row>
    <row r="52" spans="1:9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</row>
    <row r="53" spans="1:9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</row>
    <row r="54" spans="1:9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</row>
    <row r="55" spans="1:9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</row>
    <row r="56" spans="1:9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</row>
    <row r="57" spans="1:9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</row>
    <row r="58" spans="1:9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</row>
    <row r="59" spans="1:9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59E0B"/>
  </sheetPr>
  <dimension ref="A1:I5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E1"/>
    </sheetView>
  </sheetViews>
  <sheetFormatPr baseColWidth="10" defaultColWidth="8.6328125" defaultRowHeight="14.5" x14ac:dyDescent="0.35"/>
  <cols>
    <col min="1" max="1" width="26" customWidth="1"/>
    <col min="2" max="2" width="18" customWidth="1"/>
    <col min="3" max="5" width="15" customWidth="1"/>
  </cols>
  <sheetData>
    <row r="1" spans="1:9" ht="27.75" customHeight="1" x14ac:dyDescent="0.35">
      <c r="A1" s="180" t="str">
        <f>"📅 AUG "&amp;'⚙ Setup'!$B$10&amp;"  ·  Monthly Budget"</f>
        <v>📅 AUG 2026  ·  Monthly Budget</v>
      </c>
      <c r="B1" s="180"/>
      <c r="C1" s="180"/>
      <c r="D1" s="180"/>
      <c r="E1" s="180"/>
      <c r="F1" s="3"/>
      <c r="G1" s="3"/>
      <c r="H1" s="3"/>
      <c r="I1" s="3"/>
    </row>
    <row r="2" spans="1:9" ht="15" customHeight="1" x14ac:dyDescent="0.35">
      <c r="A2" s="2" t="s">
        <v>56</v>
      </c>
      <c r="B2" s="3"/>
      <c r="C2" s="2" t="s">
        <v>57</v>
      </c>
      <c r="D2" s="3"/>
      <c r="E2" s="2" t="s">
        <v>58</v>
      </c>
      <c r="F2" s="3"/>
      <c r="G2" s="3"/>
      <c r="H2" s="3"/>
      <c r="I2" s="3"/>
    </row>
    <row r="3" spans="1:9" ht="18" customHeight="1" x14ac:dyDescent="0.35">
      <c r="A3" s="29">
        <f>C4</f>
        <v>5080</v>
      </c>
      <c r="B3" s="3"/>
      <c r="C3" s="30">
        <f>C5</f>
        <v>3980</v>
      </c>
      <c r="D3" s="3"/>
      <c r="E3" s="31">
        <f>C4-C5</f>
        <v>1100</v>
      </c>
      <c r="F3" s="3"/>
      <c r="G3" s="3"/>
      <c r="H3" s="3"/>
      <c r="I3" s="3"/>
    </row>
    <row r="4" spans="1:9" ht="1.5" customHeight="1" x14ac:dyDescent="0.35">
      <c r="A4" s="3"/>
      <c r="B4" s="32" t="s">
        <v>59</v>
      </c>
      <c r="C4" s="32">
        <f>IFERROR(C13,0)</f>
        <v>5080</v>
      </c>
      <c r="D4" s="3"/>
      <c r="E4" s="3"/>
      <c r="F4" s="3"/>
      <c r="G4" s="3"/>
      <c r="H4" s="3"/>
      <c r="I4" s="3"/>
    </row>
    <row r="5" spans="1:9" ht="1.5" customHeight="1" x14ac:dyDescent="0.35">
      <c r="A5" s="3"/>
      <c r="B5" s="32" t="s">
        <v>60</v>
      </c>
      <c r="C5" s="32">
        <f>IFERROR(C32,0)</f>
        <v>3980</v>
      </c>
      <c r="D5" s="3"/>
      <c r="E5" s="3"/>
      <c r="F5" s="3"/>
      <c r="G5" s="3"/>
      <c r="H5" s="3"/>
      <c r="I5" s="3"/>
    </row>
    <row r="6" spans="1:9" ht="24" customHeight="1" x14ac:dyDescent="0.35">
      <c r="A6" s="5" t="s">
        <v>38</v>
      </c>
      <c r="B6" s="3"/>
      <c r="C6" s="3"/>
      <c r="D6" s="3"/>
      <c r="E6" s="3"/>
      <c r="F6" s="3"/>
      <c r="G6" s="3"/>
      <c r="H6" s="3"/>
      <c r="I6" s="3"/>
    </row>
    <row r="7" spans="1:9" ht="15" customHeight="1" x14ac:dyDescent="0.35">
      <c r="A7" s="33" t="s">
        <v>61</v>
      </c>
      <c r="B7" s="33" t="s">
        <v>62</v>
      </c>
      <c r="C7" s="33" t="s">
        <v>63</v>
      </c>
      <c r="D7" s="33" t="s">
        <v>64</v>
      </c>
      <c r="E7" s="33" t="s">
        <v>65</v>
      </c>
      <c r="F7" s="3"/>
      <c r="G7" s="3"/>
      <c r="H7" s="3"/>
      <c r="I7" s="3"/>
    </row>
    <row r="8" spans="1:9" ht="15" customHeight="1" x14ac:dyDescent="0.35">
      <c r="A8" s="34" t="s">
        <v>66</v>
      </c>
      <c r="B8" s="35"/>
      <c r="C8" s="16">
        <f>IFERROR('⚙ Setup'!$B$7,0)</f>
        <v>5000</v>
      </c>
      <c r="D8" s="16">
        <f>IFERROR(IF(ISNUMBER('⚙ Setup'!$B$7),'⚙ Setup'!$B$7,0),0)</f>
        <v>5000</v>
      </c>
      <c r="E8" s="36">
        <f>C8-D8</f>
        <v>0</v>
      </c>
      <c r="F8" s="3"/>
      <c r="G8" s="3"/>
      <c r="H8" s="3"/>
      <c r="I8" s="3"/>
    </row>
    <row r="9" spans="1:9" ht="15" customHeight="1" x14ac:dyDescent="0.35">
      <c r="A9" s="37" t="s">
        <v>67</v>
      </c>
      <c r="B9" s="38"/>
      <c r="C9" s="22">
        <v>0</v>
      </c>
      <c r="D9" s="22">
        <v>0</v>
      </c>
      <c r="E9" s="39">
        <f>C9-D9</f>
        <v>0</v>
      </c>
      <c r="F9" s="3"/>
      <c r="G9" s="3"/>
      <c r="H9" s="3"/>
      <c r="I9" s="3"/>
    </row>
    <row r="10" spans="1:9" ht="15" customHeight="1" x14ac:dyDescent="0.35">
      <c r="A10" s="34" t="s">
        <v>68</v>
      </c>
      <c r="B10" s="35"/>
      <c r="C10" s="16">
        <v>0</v>
      </c>
      <c r="D10" s="16">
        <v>200</v>
      </c>
      <c r="E10" s="36">
        <f>C10-D10</f>
        <v>-200</v>
      </c>
      <c r="F10" s="3"/>
      <c r="G10" s="3"/>
      <c r="H10" s="3"/>
      <c r="I10" s="3"/>
    </row>
    <row r="11" spans="1:9" ht="15" customHeight="1" x14ac:dyDescent="0.35">
      <c r="A11" s="37" t="s">
        <v>69</v>
      </c>
      <c r="B11" s="38"/>
      <c r="C11" s="22">
        <v>80</v>
      </c>
      <c r="D11" s="22">
        <v>50</v>
      </c>
      <c r="E11" s="39">
        <f>C11-D11</f>
        <v>30</v>
      </c>
      <c r="F11" s="3"/>
      <c r="G11" s="3"/>
      <c r="H11" s="3"/>
      <c r="I11" s="3"/>
    </row>
    <row r="12" spans="1:9" ht="15" customHeight="1" x14ac:dyDescent="0.35">
      <c r="A12" s="34" t="s">
        <v>70</v>
      </c>
      <c r="B12" s="35"/>
      <c r="C12" s="16">
        <v>0</v>
      </c>
      <c r="D12" s="16">
        <v>0</v>
      </c>
      <c r="E12" s="36">
        <f>C12-D12</f>
        <v>0</v>
      </c>
      <c r="F12" s="3"/>
      <c r="G12" s="3"/>
      <c r="H12" s="3"/>
      <c r="I12" s="3"/>
    </row>
    <row r="13" spans="1:9" ht="15" customHeight="1" x14ac:dyDescent="0.35">
      <c r="A13" s="40" t="s">
        <v>30</v>
      </c>
      <c r="B13" s="3"/>
      <c r="C13" s="41">
        <f>SUM(C8:C12)</f>
        <v>5080</v>
      </c>
      <c r="D13" s="42">
        <f>SUM(D8:D12)</f>
        <v>5250</v>
      </c>
      <c r="E13" s="3"/>
      <c r="F13" s="3"/>
      <c r="G13" s="3"/>
      <c r="H13" s="3"/>
      <c r="I13" s="3"/>
    </row>
    <row r="14" spans="1:9" ht="15" customHeight="1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9" ht="24" customHeight="1" x14ac:dyDescent="0.35">
      <c r="A15" s="5" t="s">
        <v>39</v>
      </c>
      <c r="B15" s="3"/>
      <c r="C15" s="3"/>
      <c r="D15" s="3"/>
      <c r="E15" s="3"/>
      <c r="F15" s="3"/>
      <c r="G15" s="3"/>
      <c r="H15" s="3"/>
      <c r="I15" s="3"/>
    </row>
    <row r="16" spans="1:9" ht="15" customHeight="1" x14ac:dyDescent="0.35">
      <c r="A16" s="33" t="s">
        <v>71</v>
      </c>
      <c r="B16" s="33" t="s">
        <v>62</v>
      </c>
      <c r="C16" s="33" t="s">
        <v>72</v>
      </c>
      <c r="D16" s="33" t="s">
        <v>64</v>
      </c>
      <c r="E16" s="33" t="s">
        <v>65</v>
      </c>
      <c r="F16" s="3"/>
      <c r="G16" s="3"/>
      <c r="H16" s="3"/>
      <c r="I16" s="3"/>
    </row>
    <row r="17" spans="1:9" ht="15" customHeight="1" x14ac:dyDescent="0.35">
      <c r="A17" s="34" t="s">
        <v>13</v>
      </c>
      <c r="B17" s="35"/>
      <c r="C17" s="16">
        <v>1500</v>
      </c>
      <c r="D17" s="16" cm="1">
        <f t="array" ref="D17">IFERROR(IF(ISNUMBER(INDEX('⚙ Setup'!$B:$B,ROW()-2)),INDEX('⚙ Setup'!$B:$B,ROW()-2),0),0)</f>
        <v>0</v>
      </c>
      <c r="E17" s="43">
        <f t="shared" ref="E17:E31" si="0">D17-C17</f>
        <v>-1500</v>
      </c>
      <c r="F17" s="3"/>
      <c r="G17" s="3"/>
      <c r="H17" s="3"/>
      <c r="I17" s="3"/>
    </row>
    <row r="18" spans="1:9" ht="15" customHeight="1" x14ac:dyDescent="0.35">
      <c r="A18" s="37" t="s">
        <v>15</v>
      </c>
      <c r="B18" s="38"/>
      <c r="C18" s="22">
        <v>340</v>
      </c>
      <c r="D18" s="22" cm="1">
        <f t="array" ref="D18">IFERROR(IF(ISNUMBER(INDEX('⚙ Setup'!$B:$B,ROW()-2)),INDEX('⚙ Setup'!$B:$B,ROW()-2),0),0)</f>
        <v>0</v>
      </c>
      <c r="E18" s="44">
        <f t="shared" si="0"/>
        <v>-340</v>
      </c>
      <c r="F18" s="3"/>
      <c r="G18" s="3"/>
      <c r="H18" s="3"/>
      <c r="I18" s="3"/>
    </row>
    <row r="19" spans="1:9" ht="15" customHeight="1" x14ac:dyDescent="0.35">
      <c r="A19" s="34" t="s">
        <v>16</v>
      </c>
      <c r="B19" s="35"/>
      <c r="C19" s="16">
        <v>650</v>
      </c>
      <c r="D19" s="16" cm="1">
        <f t="array" ref="D19">IFERROR(IF(ISNUMBER(INDEX('⚙ Setup'!$B:$B,ROW()-2)),INDEX('⚙ Setup'!$B:$B,ROW()-2),0),0)</f>
        <v>0</v>
      </c>
      <c r="E19" s="43">
        <f t="shared" si="0"/>
        <v>-650</v>
      </c>
      <c r="F19" s="3"/>
      <c r="G19" s="3"/>
      <c r="H19" s="3"/>
      <c r="I19" s="3"/>
    </row>
    <row r="20" spans="1:9" ht="15" customHeight="1" x14ac:dyDescent="0.35">
      <c r="A20" s="37" t="s">
        <v>17</v>
      </c>
      <c r="B20" s="38"/>
      <c r="C20" s="22">
        <v>135</v>
      </c>
      <c r="D20" s="22" cm="1">
        <f t="array" ref="D20">IFERROR(IF(ISNUMBER(INDEX('⚙ Setup'!$B:$B,ROW()-2)),INDEX('⚙ Setup'!$B:$B,ROW()-2),0),0)</f>
        <v>0</v>
      </c>
      <c r="E20" s="44">
        <f t="shared" si="0"/>
        <v>-135</v>
      </c>
      <c r="F20" s="3"/>
      <c r="G20" s="3"/>
      <c r="H20" s="3"/>
      <c r="I20" s="3"/>
    </row>
    <row r="21" spans="1:9" ht="15" customHeight="1" x14ac:dyDescent="0.35">
      <c r="A21" s="34" t="s">
        <v>18</v>
      </c>
      <c r="B21" s="35"/>
      <c r="C21" s="16">
        <v>250</v>
      </c>
      <c r="D21" s="16" cm="1">
        <f t="array" ref="D21">IFERROR(IF(ISNUMBER(INDEX('⚙ Setup'!$B:$B,ROW()-2)),INDEX('⚙ Setup'!$B:$B,ROW()-2),0),0)</f>
        <v>0</v>
      </c>
      <c r="E21" s="43">
        <f t="shared" si="0"/>
        <v>-250</v>
      </c>
      <c r="F21" s="3"/>
      <c r="G21" s="3"/>
      <c r="H21" s="3"/>
      <c r="I21" s="3"/>
    </row>
    <row r="22" spans="1:9" ht="15" customHeight="1" x14ac:dyDescent="0.35">
      <c r="A22" s="37" t="s">
        <v>19</v>
      </c>
      <c r="B22" s="38"/>
      <c r="C22" s="22">
        <v>100</v>
      </c>
      <c r="D22" s="22" cm="1">
        <f t="array" ref="D22">IFERROR(IF(ISNUMBER(INDEX('⚙ Setup'!$B:$B,ROW()-2)),INDEX('⚙ Setup'!$B:$B,ROW()-2),0),0)</f>
        <v>0</v>
      </c>
      <c r="E22" s="44">
        <f t="shared" si="0"/>
        <v>-100</v>
      </c>
      <c r="F22" s="3"/>
      <c r="G22" s="3"/>
      <c r="H22" s="3"/>
      <c r="I22" s="3"/>
    </row>
    <row r="23" spans="1:9" ht="15" customHeight="1" x14ac:dyDescent="0.35">
      <c r="A23" s="34" t="s">
        <v>20</v>
      </c>
      <c r="B23" s="35"/>
      <c r="C23" s="16">
        <v>140</v>
      </c>
      <c r="D23" s="16" cm="1">
        <f t="array" ref="D23">IFERROR(IF(ISNUMBER(INDEX('⚙ Setup'!$B:$B,ROW()-2)),INDEX('⚙ Setup'!$B:$B,ROW()-2),0),0)</f>
        <v>0</v>
      </c>
      <c r="E23" s="43">
        <f t="shared" si="0"/>
        <v>-140</v>
      </c>
      <c r="F23" s="3"/>
      <c r="G23" s="3"/>
      <c r="H23" s="3"/>
      <c r="I23" s="3"/>
    </row>
    <row r="24" spans="1:9" ht="15" customHeight="1" x14ac:dyDescent="0.35">
      <c r="A24" s="37" t="s">
        <v>21</v>
      </c>
      <c r="B24" s="38"/>
      <c r="C24" s="22">
        <v>200</v>
      </c>
      <c r="D24" s="22" cm="1">
        <f t="array" ref="D24">IFERROR(IF(ISNUMBER(INDEX('⚙ Setup'!$B:$B,ROW()-2)),INDEX('⚙ Setup'!$B:$B,ROW()-2),0),0)</f>
        <v>0</v>
      </c>
      <c r="E24" s="44">
        <f t="shared" si="0"/>
        <v>-200</v>
      </c>
      <c r="F24" s="3"/>
      <c r="G24" s="3"/>
      <c r="H24" s="3"/>
      <c r="I24" s="3"/>
    </row>
    <row r="25" spans="1:9" ht="15" customHeight="1" x14ac:dyDescent="0.35">
      <c r="A25" s="34" t="s">
        <v>22</v>
      </c>
      <c r="B25" s="35"/>
      <c r="C25" s="16">
        <v>70</v>
      </c>
      <c r="D25" s="16" cm="1">
        <f t="array" ref="D25">IFERROR(IF(ISNUMBER(INDEX('⚙ Setup'!$B:$B,ROW()-2)),INDEX('⚙ Setup'!$B:$B,ROW()-2),0),0)</f>
        <v>0</v>
      </c>
      <c r="E25" s="43">
        <f t="shared" si="0"/>
        <v>-70</v>
      </c>
      <c r="F25" s="3"/>
      <c r="G25" s="3"/>
      <c r="H25" s="3"/>
      <c r="I25" s="3"/>
    </row>
    <row r="26" spans="1:9" ht="15" customHeight="1" x14ac:dyDescent="0.35">
      <c r="A26" s="37" t="s">
        <v>23</v>
      </c>
      <c r="B26" s="38"/>
      <c r="C26" s="22">
        <v>0</v>
      </c>
      <c r="D26" s="22" cm="1">
        <f t="array" ref="D26">IFERROR(IF(ISNUMBER(INDEX('⚙ Setup'!$B:$B,ROW()-2)),INDEX('⚙ Setup'!$B:$B,ROW()-2),0),0)</f>
        <v>0</v>
      </c>
      <c r="E26" s="44">
        <f t="shared" si="0"/>
        <v>0</v>
      </c>
      <c r="F26" s="3"/>
      <c r="G26" s="3"/>
      <c r="H26" s="3"/>
      <c r="I26" s="3"/>
    </row>
    <row r="27" spans="1:9" ht="15" customHeight="1" x14ac:dyDescent="0.35">
      <c r="A27" s="34" t="s">
        <v>24</v>
      </c>
      <c r="B27" s="35"/>
      <c r="C27" s="16">
        <v>75</v>
      </c>
      <c r="D27" s="16" cm="1">
        <f t="array" ref="D27">IFERROR(IF(ISNUMBER(INDEX('⚙ Setup'!$B:$B,ROW()-2)),INDEX('⚙ Setup'!$B:$B,ROW()-2),0),0)</f>
        <v>0</v>
      </c>
      <c r="E27" s="43">
        <f t="shared" si="0"/>
        <v>-75</v>
      </c>
      <c r="F27" s="3"/>
      <c r="G27" s="3"/>
      <c r="H27" s="3"/>
      <c r="I27" s="3"/>
    </row>
    <row r="28" spans="1:9" ht="15" customHeight="1" x14ac:dyDescent="0.35">
      <c r="A28" s="37" t="s">
        <v>25</v>
      </c>
      <c r="B28" s="38"/>
      <c r="C28" s="22">
        <v>0</v>
      </c>
      <c r="D28" s="22" cm="1">
        <f t="array" ref="D28">IFERROR(IF(ISNUMBER(INDEX('⚙ Setup'!$B:$B,ROW()-2)),INDEX('⚙ Setup'!$B:$B,ROW()-2),0),0)</f>
        <v>0</v>
      </c>
      <c r="E28" s="44">
        <f t="shared" si="0"/>
        <v>0</v>
      </c>
      <c r="F28" s="3"/>
      <c r="G28" s="3"/>
      <c r="H28" s="3"/>
      <c r="I28" s="3"/>
    </row>
    <row r="29" spans="1:9" ht="15" customHeight="1" x14ac:dyDescent="0.35">
      <c r="A29" s="34" t="s">
        <v>26</v>
      </c>
      <c r="B29" s="35"/>
      <c r="C29" s="16">
        <v>30</v>
      </c>
      <c r="D29" s="16" cm="1">
        <f t="array" ref="D29">IFERROR(IF(ISNUMBER(INDEX('⚙ Setup'!$B:$B,ROW()-2)),INDEX('⚙ Setup'!$B:$B,ROW()-2),0),0)</f>
        <v>0</v>
      </c>
      <c r="E29" s="43">
        <f t="shared" si="0"/>
        <v>-30</v>
      </c>
      <c r="F29" s="3"/>
      <c r="G29" s="3"/>
      <c r="H29" s="3"/>
      <c r="I29" s="3"/>
    </row>
    <row r="30" spans="1:9" ht="15" customHeight="1" x14ac:dyDescent="0.35">
      <c r="A30" s="37" t="s">
        <v>27</v>
      </c>
      <c r="B30" s="38"/>
      <c r="C30" s="22">
        <v>400</v>
      </c>
      <c r="D30" s="22" cm="1">
        <f t="array" ref="D30">IFERROR(IF(ISNUMBER(INDEX('⚙ Setup'!$B:$B,ROW()-2)),INDEX('⚙ Setup'!$B:$B,ROW()-2),0),0)</f>
        <v>0</v>
      </c>
      <c r="E30" s="44">
        <f t="shared" si="0"/>
        <v>-400</v>
      </c>
      <c r="F30" s="3"/>
      <c r="G30" s="3"/>
      <c r="H30" s="3"/>
      <c r="I30" s="3"/>
    </row>
    <row r="31" spans="1:9" ht="15" customHeight="1" x14ac:dyDescent="0.35">
      <c r="A31" s="34" t="s">
        <v>28</v>
      </c>
      <c r="B31" s="35"/>
      <c r="C31" s="16">
        <v>90</v>
      </c>
      <c r="D31" s="16" cm="1">
        <f t="array" ref="D31">IFERROR(IF(ISNUMBER(INDEX('⚙ Setup'!$B:$B,ROW()-2)),INDEX('⚙ Setup'!$B:$B,ROW()-2),0),0)</f>
        <v>0</v>
      </c>
      <c r="E31" s="43">
        <f t="shared" si="0"/>
        <v>-90</v>
      </c>
      <c r="F31" s="3"/>
      <c r="G31" s="3"/>
      <c r="H31" s="3"/>
      <c r="I31" s="3"/>
    </row>
    <row r="32" spans="1:9" ht="15" customHeight="1" x14ac:dyDescent="0.35">
      <c r="A32" s="45" t="s">
        <v>31</v>
      </c>
      <c r="B32" s="3"/>
      <c r="C32" s="46">
        <f>SUM(C17:C31)</f>
        <v>3980</v>
      </c>
      <c r="D32" s="42">
        <f>SUM(D17:D31)</f>
        <v>0</v>
      </c>
      <c r="E32" s="3"/>
      <c r="F32" s="3"/>
      <c r="G32" s="3"/>
      <c r="H32" s="3"/>
      <c r="I32" s="3"/>
    </row>
    <row r="33" spans="1:9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35">
      <c r="A34" s="47" t="s">
        <v>73</v>
      </c>
      <c r="B34" s="3"/>
      <c r="C34" s="48">
        <f>C13-C32</f>
        <v>1100</v>
      </c>
      <c r="D34" s="3"/>
      <c r="E34" s="3"/>
      <c r="F34" s="3"/>
      <c r="G34" s="3"/>
      <c r="H34" s="3"/>
      <c r="I34" s="3"/>
    </row>
    <row r="35" spans="1: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</row>
    <row r="36" spans="1:9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</row>
    <row r="38" spans="1: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</row>
    <row r="40" spans="1:9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</row>
    <row r="41" spans="1:9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</row>
    <row r="43" spans="1: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</row>
    <row r="45" spans="1: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</row>
    <row r="46" spans="1: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</row>
    <row r="47" spans="1: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</row>
    <row r="48" spans="1:9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</row>
    <row r="49" spans="1: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</row>
    <row r="52" spans="1:9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</row>
    <row r="53" spans="1:9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</row>
    <row r="54" spans="1:9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</row>
    <row r="55" spans="1:9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</row>
    <row r="56" spans="1:9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</row>
    <row r="57" spans="1:9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</row>
    <row r="58" spans="1:9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</row>
    <row r="59" spans="1:9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59E0B"/>
  </sheetPr>
  <dimension ref="A1:I5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E1"/>
    </sheetView>
  </sheetViews>
  <sheetFormatPr baseColWidth="10" defaultColWidth="8.6328125" defaultRowHeight="14.5" x14ac:dyDescent="0.35"/>
  <cols>
    <col min="1" max="1" width="26" customWidth="1"/>
    <col min="2" max="2" width="18" customWidth="1"/>
    <col min="3" max="5" width="15" customWidth="1"/>
  </cols>
  <sheetData>
    <row r="1" spans="1:9" ht="27.75" customHeight="1" x14ac:dyDescent="0.35">
      <c r="A1" s="180" t="str">
        <f>"📅 SEP "&amp;'⚙ Setup'!$B$10&amp;"  ·  Monthly Budget"</f>
        <v>📅 SEP 2026  ·  Monthly Budget</v>
      </c>
      <c r="B1" s="180"/>
      <c r="C1" s="180"/>
      <c r="D1" s="180"/>
      <c r="E1" s="180"/>
      <c r="F1" s="3"/>
      <c r="G1" s="3"/>
      <c r="H1" s="3"/>
      <c r="I1" s="3"/>
    </row>
    <row r="2" spans="1:9" ht="15" customHeight="1" x14ac:dyDescent="0.35">
      <c r="A2" s="2" t="s">
        <v>56</v>
      </c>
      <c r="B2" s="3"/>
      <c r="C2" s="2" t="s">
        <v>57</v>
      </c>
      <c r="D2" s="3"/>
      <c r="E2" s="2" t="s">
        <v>58</v>
      </c>
      <c r="F2" s="3"/>
      <c r="G2" s="3"/>
      <c r="H2" s="3"/>
      <c r="I2" s="3"/>
    </row>
    <row r="3" spans="1:9" ht="18" customHeight="1" x14ac:dyDescent="0.35">
      <c r="A3" s="29">
        <f>C4</f>
        <v>5080</v>
      </c>
      <c r="B3" s="3"/>
      <c r="C3" s="30">
        <f>C5</f>
        <v>3520</v>
      </c>
      <c r="D3" s="3"/>
      <c r="E3" s="31">
        <f>C4-C5</f>
        <v>1560</v>
      </c>
      <c r="F3" s="3"/>
      <c r="G3" s="3"/>
      <c r="H3" s="3"/>
      <c r="I3" s="3"/>
    </row>
    <row r="4" spans="1:9" ht="1.5" customHeight="1" x14ac:dyDescent="0.35">
      <c r="A4" s="3"/>
      <c r="B4" s="32" t="s">
        <v>59</v>
      </c>
      <c r="C4" s="32">
        <f>IFERROR(C13,0)</f>
        <v>5080</v>
      </c>
      <c r="D4" s="3"/>
      <c r="E4" s="3"/>
      <c r="F4" s="3"/>
      <c r="G4" s="3"/>
      <c r="H4" s="3"/>
      <c r="I4" s="3"/>
    </row>
    <row r="5" spans="1:9" ht="1.5" customHeight="1" x14ac:dyDescent="0.35">
      <c r="A5" s="3"/>
      <c r="B5" s="32" t="s">
        <v>60</v>
      </c>
      <c r="C5" s="32">
        <f>IFERROR(C32,0)</f>
        <v>3520</v>
      </c>
      <c r="D5" s="3"/>
      <c r="E5" s="3"/>
      <c r="F5" s="3"/>
      <c r="G5" s="3"/>
      <c r="H5" s="3"/>
      <c r="I5" s="3"/>
    </row>
    <row r="6" spans="1:9" ht="24" customHeight="1" x14ac:dyDescent="0.35">
      <c r="A6" s="5" t="s">
        <v>38</v>
      </c>
      <c r="B6" s="3"/>
      <c r="C6" s="3"/>
      <c r="D6" s="3"/>
      <c r="E6" s="3"/>
      <c r="F6" s="3"/>
      <c r="G6" s="3"/>
      <c r="H6" s="3"/>
      <c r="I6" s="3"/>
    </row>
    <row r="7" spans="1:9" ht="15" customHeight="1" x14ac:dyDescent="0.35">
      <c r="A7" s="33" t="s">
        <v>61</v>
      </c>
      <c r="B7" s="33" t="s">
        <v>62</v>
      </c>
      <c r="C7" s="33" t="s">
        <v>63</v>
      </c>
      <c r="D7" s="33" t="s">
        <v>64</v>
      </c>
      <c r="E7" s="33" t="s">
        <v>65</v>
      </c>
      <c r="F7" s="3"/>
      <c r="G7" s="3"/>
      <c r="H7" s="3"/>
      <c r="I7" s="3"/>
    </row>
    <row r="8" spans="1:9" ht="15" customHeight="1" x14ac:dyDescent="0.35">
      <c r="A8" s="34" t="s">
        <v>66</v>
      </c>
      <c r="B8" s="35"/>
      <c r="C8" s="16">
        <f>IFERROR('⚙ Setup'!$B$7,0)</f>
        <v>5000</v>
      </c>
      <c r="D8" s="16">
        <f>IFERROR(IF(ISNUMBER('⚙ Setup'!$B$7),'⚙ Setup'!$B$7,0),0)</f>
        <v>5000</v>
      </c>
      <c r="E8" s="36">
        <f>C8-D8</f>
        <v>0</v>
      </c>
      <c r="F8" s="3"/>
      <c r="G8" s="3"/>
      <c r="H8" s="3"/>
      <c r="I8" s="3"/>
    </row>
    <row r="9" spans="1:9" ht="15" customHeight="1" x14ac:dyDescent="0.35">
      <c r="A9" s="37" t="s">
        <v>67</v>
      </c>
      <c r="B9" s="38"/>
      <c r="C9" s="22">
        <v>0</v>
      </c>
      <c r="D9" s="22">
        <v>0</v>
      </c>
      <c r="E9" s="39">
        <f>C9-D9</f>
        <v>0</v>
      </c>
      <c r="F9" s="3"/>
      <c r="G9" s="3"/>
      <c r="H9" s="3"/>
      <c r="I9" s="3"/>
    </row>
    <row r="10" spans="1:9" ht="15" customHeight="1" x14ac:dyDescent="0.35">
      <c r="A10" s="34" t="s">
        <v>68</v>
      </c>
      <c r="B10" s="35"/>
      <c r="C10" s="16">
        <v>0</v>
      </c>
      <c r="D10" s="16">
        <v>200</v>
      </c>
      <c r="E10" s="36">
        <f>C10-D10</f>
        <v>-200</v>
      </c>
      <c r="F10" s="3"/>
      <c r="G10" s="3"/>
      <c r="H10" s="3"/>
      <c r="I10" s="3"/>
    </row>
    <row r="11" spans="1:9" ht="15" customHeight="1" x14ac:dyDescent="0.35">
      <c r="A11" s="37" t="s">
        <v>69</v>
      </c>
      <c r="B11" s="38"/>
      <c r="C11" s="22">
        <v>80</v>
      </c>
      <c r="D11" s="22">
        <v>50</v>
      </c>
      <c r="E11" s="39">
        <f>C11-D11</f>
        <v>30</v>
      </c>
      <c r="F11" s="3"/>
      <c r="G11" s="3"/>
      <c r="H11" s="3"/>
      <c r="I11" s="3"/>
    </row>
    <row r="12" spans="1:9" ht="15" customHeight="1" x14ac:dyDescent="0.35">
      <c r="A12" s="34" t="s">
        <v>70</v>
      </c>
      <c r="B12" s="35"/>
      <c r="C12" s="16">
        <v>0</v>
      </c>
      <c r="D12" s="16">
        <v>0</v>
      </c>
      <c r="E12" s="36">
        <f>C12-D12</f>
        <v>0</v>
      </c>
      <c r="F12" s="3"/>
      <c r="G12" s="3"/>
      <c r="H12" s="3"/>
      <c r="I12" s="3"/>
    </row>
    <row r="13" spans="1:9" ht="15" customHeight="1" x14ac:dyDescent="0.35">
      <c r="A13" s="40" t="s">
        <v>30</v>
      </c>
      <c r="B13" s="3"/>
      <c r="C13" s="41">
        <f>SUM(C8:C12)</f>
        <v>5080</v>
      </c>
      <c r="D13" s="42">
        <f>SUM(D8:D12)</f>
        <v>5250</v>
      </c>
      <c r="E13" s="3"/>
      <c r="F13" s="3"/>
      <c r="G13" s="3"/>
      <c r="H13" s="3"/>
      <c r="I13" s="3"/>
    </row>
    <row r="14" spans="1:9" ht="15" customHeight="1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9" ht="24" customHeight="1" x14ac:dyDescent="0.35">
      <c r="A15" s="5" t="s">
        <v>39</v>
      </c>
      <c r="B15" s="3"/>
      <c r="C15" s="3"/>
      <c r="D15" s="3"/>
      <c r="E15" s="3"/>
      <c r="F15" s="3"/>
      <c r="G15" s="3"/>
      <c r="H15" s="3"/>
      <c r="I15" s="3"/>
    </row>
    <row r="16" spans="1:9" ht="15" customHeight="1" x14ac:dyDescent="0.35">
      <c r="A16" s="33" t="s">
        <v>71</v>
      </c>
      <c r="B16" s="33" t="s">
        <v>62</v>
      </c>
      <c r="C16" s="33" t="s">
        <v>72</v>
      </c>
      <c r="D16" s="33" t="s">
        <v>64</v>
      </c>
      <c r="E16" s="33" t="s">
        <v>65</v>
      </c>
      <c r="F16" s="3"/>
      <c r="G16" s="3"/>
      <c r="H16" s="3"/>
      <c r="I16" s="3"/>
    </row>
    <row r="17" spans="1:9" ht="15" customHeight="1" x14ac:dyDescent="0.35">
      <c r="A17" s="34" t="s">
        <v>13</v>
      </c>
      <c r="B17" s="35"/>
      <c r="C17" s="16">
        <v>1500</v>
      </c>
      <c r="D17" s="16" cm="1">
        <f t="array" ref="D17">IFERROR(IF(ISNUMBER(INDEX('⚙ Setup'!$B:$B,ROW()-2)),INDEX('⚙ Setup'!$B:$B,ROW()-2),0),0)</f>
        <v>0</v>
      </c>
      <c r="E17" s="43">
        <f t="shared" ref="E17:E31" si="0">D17-C17</f>
        <v>-1500</v>
      </c>
      <c r="F17" s="3"/>
      <c r="G17" s="3"/>
      <c r="H17" s="3"/>
      <c r="I17" s="3"/>
    </row>
    <row r="18" spans="1:9" ht="15" customHeight="1" x14ac:dyDescent="0.35">
      <c r="A18" s="37" t="s">
        <v>15</v>
      </c>
      <c r="B18" s="38"/>
      <c r="C18" s="22">
        <v>350</v>
      </c>
      <c r="D18" s="22" cm="1">
        <f t="array" ref="D18">IFERROR(IF(ISNUMBER(INDEX('⚙ Setup'!$B:$B,ROW()-2)),INDEX('⚙ Setup'!$B:$B,ROW()-2),0),0)</f>
        <v>0</v>
      </c>
      <c r="E18" s="44">
        <f t="shared" si="0"/>
        <v>-350</v>
      </c>
      <c r="F18" s="3"/>
      <c r="G18" s="3"/>
      <c r="H18" s="3"/>
      <c r="I18" s="3"/>
    </row>
    <row r="19" spans="1:9" ht="15" customHeight="1" x14ac:dyDescent="0.35">
      <c r="A19" s="34" t="s">
        <v>16</v>
      </c>
      <c r="B19" s="35"/>
      <c r="C19" s="16">
        <v>600</v>
      </c>
      <c r="D19" s="16" cm="1">
        <f t="array" ref="D19">IFERROR(IF(ISNUMBER(INDEX('⚙ Setup'!$B:$B,ROW()-2)),INDEX('⚙ Setup'!$B:$B,ROW()-2),0),0)</f>
        <v>0</v>
      </c>
      <c r="E19" s="43">
        <f t="shared" si="0"/>
        <v>-600</v>
      </c>
      <c r="F19" s="3"/>
      <c r="G19" s="3"/>
      <c r="H19" s="3"/>
      <c r="I19" s="3"/>
    </row>
    <row r="20" spans="1:9" ht="15" customHeight="1" x14ac:dyDescent="0.35">
      <c r="A20" s="37" t="s">
        <v>17</v>
      </c>
      <c r="B20" s="38"/>
      <c r="C20" s="22">
        <v>165</v>
      </c>
      <c r="D20" s="22" cm="1">
        <f t="array" ref="D20">IFERROR(IF(ISNUMBER(INDEX('⚙ Setup'!$B:$B,ROW()-2)),INDEX('⚙ Setup'!$B:$B,ROW()-2),0),0)</f>
        <v>0</v>
      </c>
      <c r="E20" s="44">
        <f t="shared" si="0"/>
        <v>-165</v>
      </c>
      <c r="F20" s="3"/>
      <c r="G20" s="3"/>
      <c r="H20" s="3"/>
      <c r="I20" s="3"/>
    </row>
    <row r="21" spans="1:9" ht="15" customHeight="1" x14ac:dyDescent="0.35">
      <c r="A21" s="34" t="s">
        <v>18</v>
      </c>
      <c r="B21" s="35"/>
      <c r="C21" s="16">
        <v>250</v>
      </c>
      <c r="D21" s="16" cm="1">
        <f t="array" ref="D21">IFERROR(IF(ISNUMBER(INDEX('⚙ Setup'!$B:$B,ROW()-2)),INDEX('⚙ Setup'!$B:$B,ROW()-2),0),0)</f>
        <v>0</v>
      </c>
      <c r="E21" s="43">
        <f t="shared" si="0"/>
        <v>-250</v>
      </c>
      <c r="F21" s="3"/>
      <c r="G21" s="3"/>
      <c r="H21" s="3"/>
      <c r="I21" s="3"/>
    </row>
    <row r="22" spans="1:9" ht="15" customHeight="1" x14ac:dyDescent="0.35">
      <c r="A22" s="37" t="s">
        <v>19</v>
      </c>
      <c r="B22" s="38"/>
      <c r="C22" s="22">
        <v>80</v>
      </c>
      <c r="D22" s="22" cm="1">
        <f t="array" ref="D22">IFERROR(IF(ISNUMBER(INDEX('⚙ Setup'!$B:$B,ROW()-2)),INDEX('⚙ Setup'!$B:$B,ROW()-2),0),0)</f>
        <v>0</v>
      </c>
      <c r="E22" s="44">
        <f t="shared" si="0"/>
        <v>-80</v>
      </c>
      <c r="F22" s="3"/>
      <c r="G22" s="3"/>
      <c r="H22" s="3"/>
      <c r="I22" s="3"/>
    </row>
    <row r="23" spans="1:9" ht="15" customHeight="1" x14ac:dyDescent="0.35">
      <c r="A23" s="34" t="s">
        <v>20</v>
      </c>
      <c r="B23" s="35"/>
      <c r="C23" s="16">
        <v>110</v>
      </c>
      <c r="D23" s="16" cm="1">
        <f t="array" ref="D23">IFERROR(IF(ISNUMBER(INDEX('⚙ Setup'!$B:$B,ROW()-2)),INDEX('⚙ Setup'!$B:$B,ROW()-2),0),0)</f>
        <v>0</v>
      </c>
      <c r="E23" s="43">
        <f t="shared" si="0"/>
        <v>-110</v>
      </c>
      <c r="F23" s="3"/>
      <c r="G23" s="3"/>
      <c r="H23" s="3"/>
      <c r="I23" s="3"/>
    </row>
    <row r="24" spans="1:9" ht="15" customHeight="1" x14ac:dyDescent="0.35">
      <c r="A24" s="37" t="s">
        <v>21</v>
      </c>
      <c r="B24" s="38"/>
      <c r="C24" s="22">
        <v>100</v>
      </c>
      <c r="D24" s="22" cm="1">
        <f t="array" ref="D24">IFERROR(IF(ISNUMBER(INDEX('⚙ Setup'!$B:$B,ROW()-2)),INDEX('⚙ Setup'!$B:$B,ROW()-2),0),0)</f>
        <v>0</v>
      </c>
      <c r="E24" s="44">
        <f t="shared" si="0"/>
        <v>-100</v>
      </c>
      <c r="F24" s="3"/>
      <c r="G24" s="3"/>
      <c r="H24" s="3"/>
      <c r="I24" s="3"/>
    </row>
    <row r="25" spans="1:9" ht="15" customHeight="1" x14ac:dyDescent="0.35">
      <c r="A25" s="34" t="s">
        <v>22</v>
      </c>
      <c r="B25" s="35"/>
      <c r="C25" s="16">
        <v>60</v>
      </c>
      <c r="D25" s="16" cm="1">
        <f t="array" ref="D25">IFERROR(IF(ISNUMBER(INDEX('⚙ Setup'!$B:$B,ROW()-2)),INDEX('⚙ Setup'!$B:$B,ROW()-2),0),0)</f>
        <v>0</v>
      </c>
      <c r="E25" s="43">
        <f t="shared" si="0"/>
        <v>-60</v>
      </c>
      <c r="F25" s="3"/>
      <c r="G25" s="3"/>
      <c r="H25" s="3"/>
      <c r="I25" s="3"/>
    </row>
    <row r="26" spans="1:9" ht="15" customHeight="1" x14ac:dyDescent="0.35">
      <c r="A26" s="37" t="s">
        <v>23</v>
      </c>
      <c r="B26" s="38"/>
      <c r="C26" s="22">
        <v>100</v>
      </c>
      <c r="D26" s="22" cm="1">
        <f t="array" ref="D26">IFERROR(IF(ISNUMBER(INDEX('⚙ Setup'!$B:$B,ROW()-2)),INDEX('⚙ Setup'!$B:$B,ROW()-2),0),0)</f>
        <v>0</v>
      </c>
      <c r="E26" s="44">
        <f t="shared" si="0"/>
        <v>-100</v>
      </c>
      <c r="F26" s="3"/>
      <c r="G26" s="3"/>
      <c r="H26" s="3"/>
      <c r="I26" s="3"/>
    </row>
    <row r="27" spans="1:9" ht="15" customHeight="1" x14ac:dyDescent="0.35">
      <c r="A27" s="34" t="s">
        <v>24</v>
      </c>
      <c r="B27" s="35"/>
      <c r="C27" s="16">
        <v>75</v>
      </c>
      <c r="D27" s="16" cm="1">
        <f t="array" ref="D27">IFERROR(IF(ISNUMBER(INDEX('⚙ Setup'!$B:$B,ROW()-2)),INDEX('⚙ Setup'!$B:$B,ROW()-2),0),0)</f>
        <v>0</v>
      </c>
      <c r="E27" s="43">
        <f t="shared" si="0"/>
        <v>-75</v>
      </c>
      <c r="F27" s="3"/>
      <c r="G27" s="3"/>
      <c r="H27" s="3"/>
      <c r="I27" s="3"/>
    </row>
    <row r="28" spans="1:9" ht="15" customHeight="1" x14ac:dyDescent="0.35">
      <c r="A28" s="37" t="s">
        <v>25</v>
      </c>
      <c r="B28" s="38"/>
      <c r="C28" s="22">
        <v>0</v>
      </c>
      <c r="D28" s="22" cm="1">
        <f t="array" ref="D28">IFERROR(IF(ISNUMBER(INDEX('⚙ Setup'!$B:$B,ROW()-2)),INDEX('⚙ Setup'!$B:$B,ROW()-2),0),0)</f>
        <v>0</v>
      </c>
      <c r="E28" s="44">
        <f t="shared" si="0"/>
        <v>0</v>
      </c>
      <c r="F28" s="3"/>
      <c r="G28" s="3"/>
      <c r="H28" s="3"/>
      <c r="I28" s="3"/>
    </row>
    <row r="29" spans="1:9" ht="15" customHeight="1" x14ac:dyDescent="0.35">
      <c r="A29" s="34" t="s">
        <v>26</v>
      </c>
      <c r="B29" s="35"/>
      <c r="C29" s="16">
        <v>50</v>
      </c>
      <c r="D29" s="16" cm="1">
        <f t="array" ref="D29">IFERROR(IF(ISNUMBER(INDEX('⚙ Setup'!$B:$B,ROW()-2)),INDEX('⚙ Setup'!$B:$B,ROW()-2),0),0)</f>
        <v>0</v>
      </c>
      <c r="E29" s="43">
        <f t="shared" si="0"/>
        <v>-50</v>
      </c>
      <c r="F29" s="3"/>
      <c r="G29" s="3"/>
      <c r="H29" s="3"/>
      <c r="I29" s="3"/>
    </row>
    <row r="30" spans="1:9" ht="15" customHeight="1" x14ac:dyDescent="0.35">
      <c r="A30" s="37" t="s">
        <v>27</v>
      </c>
      <c r="B30" s="38"/>
      <c r="C30" s="22">
        <v>0</v>
      </c>
      <c r="D30" s="22" cm="1">
        <f t="array" ref="D30">IFERROR(IF(ISNUMBER(INDEX('⚙ Setup'!$B:$B,ROW()-2)),INDEX('⚙ Setup'!$B:$B,ROW()-2),0),0)</f>
        <v>0</v>
      </c>
      <c r="E30" s="44">
        <f t="shared" si="0"/>
        <v>0</v>
      </c>
      <c r="F30" s="3"/>
      <c r="G30" s="3"/>
      <c r="H30" s="3"/>
      <c r="I30" s="3"/>
    </row>
    <row r="31" spans="1:9" ht="15" customHeight="1" x14ac:dyDescent="0.35">
      <c r="A31" s="34" t="s">
        <v>28</v>
      </c>
      <c r="B31" s="35"/>
      <c r="C31" s="16">
        <v>80</v>
      </c>
      <c r="D31" s="16" cm="1">
        <f t="array" ref="D31">IFERROR(IF(ISNUMBER(INDEX('⚙ Setup'!$B:$B,ROW()-2)),INDEX('⚙ Setup'!$B:$B,ROW()-2),0),0)</f>
        <v>0</v>
      </c>
      <c r="E31" s="43">
        <f t="shared" si="0"/>
        <v>-80</v>
      </c>
      <c r="F31" s="3"/>
      <c r="G31" s="3"/>
      <c r="H31" s="3"/>
      <c r="I31" s="3"/>
    </row>
    <row r="32" spans="1:9" ht="15" customHeight="1" x14ac:dyDescent="0.35">
      <c r="A32" s="45" t="s">
        <v>31</v>
      </c>
      <c r="B32" s="3"/>
      <c r="C32" s="46">
        <f>SUM(C17:C31)</f>
        <v>3520</v>
      </c>
      <c r="D32" s="42">
        <f>SUM(D17:D31)</f>
        <v>0</v>
      </c>
      <c r="E32" s="3"/>
      <c r="F32" s="3"/>
      <c r="G32" s="3"/>
      <c r="H32" s="3"/>
      <c r="I32" s="3"/>
    </row>
    <row r="33" spans="1:9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35">
      <c r="A34" s="47" t="s">
        <v>73</v>
      </c>
      <c r="B34" s="3"/>
      <c r="C34" s="48">
        <f>C13-C32</f>
        <v>1560</v>
      </c>
      <c r="D34" s="3"/>
      <c r="E34" s="3"/>
      <c r="F34" s="3"/>
      <c r="G34" s="3"/>
      <c r="H34" s="3"/>
      <c r="I34" s="3"/>
    </row>
    <row r="35" spans="1: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</row>
    <row r="36" spans="1:9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</row>
    <row r="38" spans="1: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</row>
    <row r="40" spans="1:9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</row>
    <row r="41" spans="1:9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</row>
    <row r="43" spans="1: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</row>
    <row r="45" spans="1: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</row>
    <row r="46" spans="1: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</row>
    <row r="47" spans="1: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</row>
    <row r="48" spans="1:9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</row>
    <row r="49" spans="1: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</row>
    <row r="52" spans="1:9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</row>
    <row r="53" spans="1:9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</row>
    <row r="54" spans="1:9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</row>
    <row r="55" spans="1:9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</row>
    <row r="56" spans="1:9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</row>
    <row r="57" spans="1:9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</row>
    <row r="58" spans="1:9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</row>
    <row r="59" spans="1:9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59E0B"/>
  </sheetPr>
  <dimension ref="A1:I5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E1"/>
    </sheetView>
  </sheetViews>
  <sheetFormatPr baseColWidth="10" defaultColWidth="8.6328125" defaultRowHeight="14.5" x14ac:dyDescent="0.35"/>
  <cols>
    <col min="1" max="1" width="26" customWidth="1"/>
    <col min="2" max="2" width="18" customWidth="1"/>
    <col min="3" max="5" width="15" customWidth="1"/>
  </cols>
  <sheetData>
    <row r="1" spans="1:9" ht="27.75" customHeight="1" x14ac:dyDescent="0.35">
      <c r="A1" s="180" t="str">
        <f>"📅 OCT "&amp;'⚙ Setup'!$B$10&amp;"  ·  Monthly Budget"</f>
        <v>📅 OCT 2026  ·  Monthly Budget</v>
      </c>
      <c r="B1" s="180"/>
      <c r="C1" s="180"/>
      <c r="D1" s="180"/>
      <c r="E1" s="180"/>
      <c r="F1" s="3"/>
      <c r="G1" s="3"/>
      <c r="H1" s="3"/>
      <c r="I1" s="3"/>
    </row>
    <row r="2" spans="1:9" ht="15" customHeight="1" x14ac:dyDescent="0.35">
      <c r="A2" s="2" t="s">
        <v>56</v>
      </c>
      <c r="B2" s="3"/>
      <c r="C2" s="2" t="s">
        <v>57</v>
      </c>
      <c r="D2" s="3"/>
      <c r="E2" s="2" t="s">
        <v>58</v>
      </c>
      <c r="F2" s="3"/>
      <c r="G2" s="3"/>
      <c r="H2" s="3"/>
      <c r="I2" s="3"/>
    </row>
    <row r="3" spans="1:9" ht="18" customHeight="1" x14ac:dyDescent="0.35">
      <c r="A3" s="29">
        <f>C4</f>
        <v>5380</v>
      </c>
      <c r="B3" s="3"/>
      <c r="C3" s="30">
        <f>C5</f>
        <v>3560</v>
      </c>
      <c r="D3" s="3"/>
      <c r="E3" s="31">
        <f>C4-C5</f>
        <v>1820</v>
      </c>
      <c r="F3" s="3"/>
      <c r="G3" s="3"/>
      <c r="H3" s="3"/>
      <c r="I3" s="3"/>
    </row>
    <row r="4" spans="1:9" ht="1.5" customHeight="1" x14ac:dyDescent="0.35">
      <c r="A4" s="3"/>
      <c r="B4" s="32" t="s">
        <v>59</v>
      </c>
      <c r="C4" s="32">
        <f>IFERROR(C13,0)</f>
        <v>5380</v>
      </c>
      <c r="D4" s="3"/>
      <c r="E4" s="3"/>
      <c r="F4" s="3"/>
      <c r="G4" s="3"/>
      <c r="H4" s="3"/>
      <c r="I4" s="3"/>
    </row>
    <row r="5" spans="1:9" ht="1.5" customHeight="1" x14ac:dyDescent="0.35">
      <c r="A5" s="3"/>
      <c r="B5" s="32" t="s">
        <v>60</v>
      </c>
      <c r="C5" s="32">
        <f>IFERROR(C32,0)</f>
        <v>3560</v>
      </c>
      <c r="D5" s="3"/>
      <c r="E5" s="3"/>
      <c r="F5" s="3"/>
      <c r="G5" s="3"/>
      <c r="H5" s="3"/>
      <c r="I5" s="3"/>
    </row>
    <row r="6" spans="1:9" ht="24" customHeight="1" x14ac:dyDescent="0.35">
      <c r="A6" s="5" t="s">
        <v>38</v>
      </c>
      <c r="B6" s="3"/>
      <c r="C6" s="3"/>
      <c r="D6" s="3"/>
      <c r="E6" s="3"/>
      <c r="F6" s="3"/>
      <c r="G6" s="3"/>
      <c r="H6" s="3"/>
      <c r="I6" s="3"/>
    </row>
    <row r="7" spans="1:9" ht="15" customHeight="1" x14ac:dyDescent="0.35">
      <c r="A7" s="33" t="s">
        <v>61</v>
      </c>
      <c r="B7" s="33" t="s">
        <v>62</v>
      </c>
      <c r="C7" s="33" t="s">
        <v>63</v>
      </c>
      <c r="D7" s="33" t="s">
        <v>64</v>
      </c>
      <c r="E7" s="33" t="s">
        <v>65</v>
      </c>
      <c r="F7" s="3"/>
      <c r="G7" s="3"/>
      <c r="H7" s="3"/>
      <c r="I7" s="3"/>
    </row>
    <row r="8" spans="1:9" ht="15" customHeight="1" x14ac:dyDescent="0.35">
      <c r="A8" s="34" t="s">
        <v>66</v>
      </c>
      <c r="B8" s="35"/>
      <c r="C8" s="16">
        <f>IFERROR('⚙ Setup'!$B$7,0)</f>
        <v>5000</v>
      </c>
      <c r="D8" s="16">
        <f>IFERROR(IF(ISNUMBER('⚙ Setup'!$B$7),'⚙ Setup'!$B$7,0),0)</f>
        <v>5000</v>
      </c>
      <c r="E8" s="36">
        <f>C8-D8</f>
        <v>0</v>
      </c>
      <c r="F8" s="3"/>
      <c r="G8" s="3"/>
      <c r="H8" s="3"/>
      <c r="I8" s="3"/>
    </row>
    <row r="9" spans="1:9" ht="15" customHeight="1" x14ac:dyDescent="0.35">
      <c r="A9" s="37" t="s">
        <v>67</v>
      </c>
      <c r="B9" s="38"/>
      <c r="C9" s="22">
        <v>0</v>
      </c>
      <c r="D9" s="22">
        <v>0</v>
      </c>
      <c r="E9" s="39">
        <f>C9-D9</f>
        <v>0</v>
      </c>
      <c r="F9" s="3"/>
      <c r="G9" s="3"/>
      <c r="H9" s="3"/>
      <c r="I9" s="3"/>
    </row>
    <row r="10" spans="1:9" ht="15" customHeight="1" x14ac:dyDescent="0.35">
      <c r="A10" s="34" t="s">
        <v>68</v>
      </c>
      <c r="B10" s="35"/>
      <c r="C10" s="16">
        <v>300</v>
      </c>
      <c r="D10" s="16">
        <v>200</v>
      </c>
      <c r="E10" s="36">
        <f>C10-D10</f>
        <v>100</v>
      </c>
      <c r="F10" s="3"/>
      <c r="G10" s="3"/>
      <c r="H10" s="3"/>
      <c r="I10" s="3"/>
    </row>
    <row r="11" spans="1:9" ht="15" customHeight="1" x14ac:dyDescent="0.35">
      <c r="A11" s="37" t="s">
        <v>69</v>
      </c>
      <c r="B11" s="38"/>
      <c r="C11" s="22">
        <v>80</v>
      </c>
      <c r="D11" s="22">
        <v>50</v>
      </c>
      <c r="E11" s="39">
        <f>C11-D11</f>
        <v>30</v>
      </c>
      <c r="F11" s="3"/>
      <c r="G11" s="3"/>
      <c r="H11" s="3"/>
      <c r="I11" s="3"/>
    </row>
    <row r="12" spans="1:9" ht="15" customHeight="1" x14ac:dyDescent="0.35">
      <c r="A12" s="34" t="s">
        <v>70</v>
      </c>
      <c r="B12" s="35"/>
      <c r="C12" s="16">
        <v>0</v>
      </c>
      <c r="D12" s="16">
        <v>0</v>
      </c>
      <c r="E12" s="36">
        <f>C12-D12</f>
        <v>0</v>
      </c>
      <c r="F12" s="3"/>
      <c r="G12" s="3"/>
      <c r="H12" s="3"/>
      <c r="I12" s="3"/>
    </row>
    <row r="13" spans="1:9" ht="15" customHeight="1" x14ac:dyDescent="0.35">
      <c r="A13" s="40" t="s">
        <v>30</v>
      </c>
      <c r="B13" s="3"/>
      <c r="C13" s="41">
        <f>SUM(C8:C12)</f>
        <v>5380</v>
      </c>
      <c r="D13" s="42">
        <f>SUM(D8:D12)</f>
        <v>5250</v>
      </c>
      <c r="E13" s="3"/>
      <c r="F13" s="3"/>
      <c r="G13" s="3"/>
      <c r="H13" s="3"/>
      <c r="I13" s="3"/>
    </row>
    <row r="14" spans="1:9" ht="15" customHeight="1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9" ht="24" customHeight="1" x14ac:dyDescent="0.35">
      <c r="A15" s="5" t="s">
        <v>39</v>
      </c>
      <c r="B15" s="3"/>
      <c r="C15" s="3"/>
      <c r="D15" s="3"/>
      <c r="E15" s="3"/>
      <c r="F15" s="3"/>
      <c r="G15" s="3"/>
      <c r="H15" s="3"/>
      <c r="I15" s="3"/>
    </row>
    <row r="16" spans="1:9" ht="15" customHeight="1" x14ac:dyDescent="0.35">
      <c r="A16" s="33" t="s">
        <v>71</v>
      </c>
      <c r="B16" s="33" t="s">
        <v>62</v>
      </c>
      <c r="C16" s="33" t="s">
        <v>72</v>
      </c>
      <c r="D16" s="33" t="s">
        <v>64</v>
      </c>
      <c r="E16" s="33" t="s">
        <v>65</v>
      </c>
      <c r="F16" s="3"/>
      <c r="G16" s="3"/>
      <c r="H16" s="3"/>
      <c r="I16" s="3"/>
    </row>
    <row r="17" spans="1:9" ht="15" customHeight="1" x14ac:dyDescent="0.35">
      <c r="A17" s="34" t="s">
        <v>13</v>
      </c>
      <c r="B17" s="35"/>
      <c r="C17" s="16">
        <v>1500</v>
      </c>
      <c r="D17" s="16" cm="1">
        <f t="array" ref="D17">IFERROR(IF(ISNUMBER(INDEX('⚙ Setup'!$B:$B,ROW()-2)),INDEX('⚙ Setup'!$B:$B,ROW()-2),0),0)</f>
        <v>0</v>
      </c>
      <c r="E17" s="43">
        <f t="shared" ref="E17:E31" si="0">D17-C17</f>
        <v>-1500</v>
      </c>
      <c r="F17" s="3"/>
      <c r="G17" s="3"/>
      <c r="H17" s="3"/>
      <c r="I17" s="3"/>
    </row>
    <row r="18" spans="1:9" ht="15" customHeight="1" x14ac:dyDescent="0.35">
      <c r="A18" s="37" t="s">
        <v>15</v>
      </c>
      <c r="B18" s="38"/>
      <c r="C18" s="22">
        <v>350</v>
      </c>
      <c r="D18" s="22" cm="1">
        <f t="array" ref="D18">IFERROR(IF(ISNUMBER(INDEX('⚙ Setup'!$B:$B,ROW()-2)),INDEX('⚙ Setup'!$B:$B,ROW()-2),0),0)</f>
        <v>0</v>
      </c>
      <c r="E18" s="44">
        <f t="shared" si="0"/>
        <v>-350</v>
      </c>
      <c r="F18" s="3"/>
      <c r="G18" s="3"/>
      <c r="H18" s="3"/>
      <c r="I18" s="3"/>
    </row>
    <row r="19" spans="1:9" ht="15" customHeight="1" x14ac:dyDescent="0.35">
      <c r="A19" s="34" t="s">
        <v>16</v>
      </c>
      <c r="B19" s="35"/>
      <c r="C19" s="16">
        <v>610</v>
      </c>
      <c r="D19" s="16" cm="1">
        <f t="array" ref="D19">IFERROR(IF(ISNUMBER(INDEX('⚙ Setup'!$B:$B,ROW()-2)),INDEX('⚙ Setup'!$B:$B,ROW()-2),0),0)</f>
        <v>0</v>
      </c>
      <c r="E19" s="43">
        <f t="shared" si="0"/>
        <v>-610</v>
      </c>
      <c r="F19" s="3"/>
      <c r="G19" s="3"/>
      <c r="H19" s="3"/>
      <c r="I19" s="3"/>
    </row>
    <row r="20" spans="1:9" ht="15" customHeight="1" x14ac:dyDescent="0.35">
      <c r="A20" s="37" t="s">
        <v>17</v>
      </c>
      <c r="B20" s="38"/>
      <c r="C20" s="22">
        <v>175</v>
      </c>
      <c r="D20" s="22" cm="1">
        <f t="array" ref="D20">IFERROR(IF(ISNUMBER(INDEX('⚙ Setup'!$B:$B,ROW()-2)),INDEX('⚙ Setup'!$B:$B,ROW()-2),0),0)</f>
        <v>0</v>
      </c>
      <c r="E20" s="44">
        <f t="shared" si="0"/>
        <v>-175</v>
      </c>
      <c r="F20" s="3"/>
      <c r="G20" s="3"/>
      <c r="H20" s="3"/>
      <c r="I20" s="3"/>
    </row>
    <row r="21" spans="1:9" ht="15" customHeight="1" x14ac:dyDescent="0.35">
      <c r="A21" s="34" t="s">
        <v>18</v>
      </c>
      <c r="B21" s="35"/>
      <c r="C21" s="16">
        <v>250</v>
      </c>
      <c r="D21" s="16" cm="1">
        <f t="array" ref="D21">IFERROR(IF(ISNUMBER(INDEX('⚙ Setup'!$B:$B,ROW()-2)),INDEX('⚙ Setup'!$B:$B,ROW()-2),0),0)</f>
        <v>0</v>
      </c>
      <c r="E21" s="43">
        <f t="shared" si="0"/>
        <v>-250</v>
      </c>
      <c r="F21" s="3"/>
      <c r="G21" s="3"/>
      <c r="H21" s="3"/>
      <c r="I21" s="3"/>
    </row>
    <row r="22" spans="1:9" ht="15" customHeight="1" x14ac:dyDescent="0.35">
      <c r="A22" s="37" t="s">
        <v>19</v>
      </c>
      <c r="B22" s="38"/>
      <c r="C22" s="22">
        <v>0</v>
      </c>
      <c r="D22" s="22" cm="1">
        <f t="array" ref="D22">IFERROR(IF(ISNUMBER(INDEX('⚙ Setup'!$B:$B,ROW()-2)),INDEX('⚙ Setup'!$B:$B,ROW()-2),0),0)</f>
        <v>0</v>
      </c>
      <c r="E22" s="44">
        <f t="shared" si="0"/>
        <v>0</v>
      </c>
      <c r="F22" s="3"/>
      <c r="G22" s="3"/>
      <c r="H22" s="3"/>
      <c r="I22" s="3"/>
    </row>
    <row r="23" spans="1:9" ht="15" customHeight="1" x14ac:dyDescent="0.35">
      <c r="A23" s="34" t="s">
        <v>20</v>
      </c>
      <c r="B23" s="35"/>
      <c r="C23" s="16">
        <v>130</v>
      </c>
      <c r="D23" s="16" cm="1">
        <f t="array" ref="D23">IFERROR(IF(ISNUMBER(INDEX('⚙ Setup'!$B:$B,ROW()-2)),INDEX('⚙ Setup'!$B:$B,ROW()-2),0),0)</f>
        <v>0</v>
      </c>
      <c r="E23" s="43">
        <f t="shared" si="0"/>
        <v>-130</v>
      </c>
      <c r="F23" s="3"/>
      <c r="G23" s="3"/>
      <c r="H23" s="3"/>
      <c r="I23" s="3"/>
    </row>
    <row r="24" spans="1:9" ht="15" customHeight="1" x14ac:dyDescent="0.35">
      <c r="A24" s="37" t="s">
        <v>21</v>
      </c>
      <c r="B24" s="38"/>
      <c r="C24" s="22">
        <v>150</v>
      </c>
      <c r="D24" s="22" cm="1">
        <f t="array" ref="D24">IFERROR(IF(ISNUMBER(INDEX('⚙ Setup'!$B:$B,ROW()-2)),INDEX('⚙ Setup'!$B:$B,ROW()-2),0),0)</f>
        <v>0</v>
      </c>
      <c r="E24" s="44">
        <f t="shared" si="0"/>
        <v>-150</v>
      </c>
      <c r="F24" s="3"/>
      <c r="G24" s="3"/>
      <c r="H24" s="3"/>
      <c r="I24" s="3"/>
    </row>
    <row r="25" spans="1:9" ht="15" customHeight="1" x14ac:dyDescent="0.35">
      <c r="A25" s="34" t="s">
        <v>22</v>
      </c>
      <c r="B25" s="35"/>
      <c r="C25" s="16">
        <v>60</v>
      </c>
      <c r="D25" s="16" cm="1">
        <f t="array" ref="D25">IFERROR(IF(ISNUMBER(INDEX('⚙ Setup'!$B:$B,ROW()-2)),INDEX('⚙ Setup'!$B:$B,ROW()-2),0),0)</f>
        <v>0</v>
      </c>
      <c r="E25" s="43">
        <f t="shared" si="0"/>
        <v>-60</v>
      </c>
      <c r="F25" s="3"/>
      <c r="G25" s="3"/>
      <c r="H25" s="3"/>
      <c r="I25" s="3"/>
    </row>
    <row r="26" spans="1:9" ht="15" customHeight="1" x14ac:dyDescent="0.35">
      <c r="A26" s="37" t="s">
        <v>23</v>
      </c>
      <c r="B26" s="38"/>
      <c r="C26" s="22">
        <v>100</v>
      </c>
      <c r="D26" s="22" cm="1">
        <f t="array" ref="D26">IFERROR(IF(ISNUMBER(INDEX('⚙ Setup'!$B:$B,ROW()-2)),INDEX('⚙ Setup'!$B:$B,ROW()-2),0),0)</f>
        <v>0</v>
      </c>
      <c r="E26" s="44">
        <f t="shared" si="0"/>
        <v>-100</v>
      </c>
      <c r="F26" s="3"/>
      <c r="G26" s="3"/>
      <c r="H26" s="3"/>
      <c r="I26" s="3"/>
    </row>
    <row r="27" spans="1:9" ht="15" customHeight="1" x14ac:dyDescent="0.35">
      <c r="A27" s="34" t="s">
        <v>24</v>
      </c>
      <c r="B27" s="35"/>
      <c r="C27" s="16">
        <v>75</v>
      </c>
      <c r="D27" s="16" cm="1">
        <f t="array" ref="D27">IFERROR(IF(ISNUMBER(INDEX('⚙ Setup'!$B:$B,ROW()-2)),INDEX('⚙ Setup'!$B:$B,ROW()-2),0),0)</f>
        <v>0</v>
      </c>
      <c r="E27" s="43">
        <f t="shared" si="0"/>
        <v>-75</v>
      </c>
      <c r="F27" s="3"/>
      <c r="G27" s="3"/>
      <c r="H27" s="3"/>
      <c r="I27" s="3"/>
    </row>
    <row r="28" spans="1:9" ht="15" customHeight="1" x14ac:dyDescent="0.35">
      <c r="A28" s="37" t="s">
        <v>25</v>
      </c>
      <c r="B28" s="38"/>
      <c r="C28" s="22">
        <v>0</v>
      </c>
      <c r="D28" s="22" cm="1">
        <f t="array" ref="D28">IFERROR(IF(ISNUMBER(INDEX('⚙ Setup'!$B:$B,ROW()-2)),INDEX('⚙ Setup'!$B:$B,ROW()-2),0),0)</f>
        <v>0</v>
      </c>
      <c r="E28" s="44">
        <f t="shared" si="0"/>
        <v>0</v>
      </c>
      <c r="F28" s="3"/>
      <c r="G28" s="3"/>
      <c r="H28" s="3"/>
      <c r="I28" s="3"/>
    </row>
    <row r="29" spans="1:9" ht="15" customHeight="1" x14ac:dyDescent="0.35">
      <c r="A29" s="34" t="s">
        <v>26</v>
      </c>
      <c r="B29" s="35"/>
      <c r="C29" s="16">
        <v>80</v>
      </c>
      <c r="D29" s="16" cm="1">
        <f t="array" ref="D29">IFERROR(IF(ISNUMBER(INDEX('⚙ Setup'!$B:$B,ROW()-2)),INDEX('⚙ Setup'!$B:$B,ROW()-2),0),0)</f>
        <v>0</v>
      </c>
      <c r="E29" s="43">
        <f t="shared" si="0"/>
        <v>-80</v>
      </c>
      <c r="F29" s="3"/>
      <c r="G29" s="3"/>
      <c r="H29" s="3"/>
      <c r="I29" s="3"/>
    </row>
    <row r="30" spans="1:9" ht="15" customHeight="1" x14ac:dyDescent="0.35">
      <c r="A30" s="37" t="s">
        <v>27</v>
      </c>
      <c r="B30" s="38"/>
      <c r="C30" s="22">
        <v>0</v>
      </c>
      <c r="D30" s="22" cm="1">
        <f t="array" ref="D30">IFERROR(IF(ISNUMBER(INDEX('⚙ Setup'!$B:$B,ROW()-2)),INDEX('⚙ Setup'!$B:$B,ROW()-2),0),0)</f>
        <v>0</v>
      </c>
      <c r="E30" s="44">
        <f t="shared" si="0"/>
        <v>0</v>
      </c>
      <c r="F30" s="3"/>
      <c r="G30" s="3"/>
      <c r="H30" s="3"/>
      <c r="I30" s="3"/>
    </row>
    <row r="31" spans="1:9" ht="15" customHeight="1" x14ac:dyDescent="0.35">
      <c r="A31" s="34" t="s">
        <v>28</v>
      </c>
      <c r="B31" s="35"/>
      <c r="C31" s="16">
        <v>80</v>
      </c>
      <c r="D31" s="16" cm="1">
        <f t="array" ref="D31">IFERROR(IF(ISNUMBER(INDEX('⚙ Setup'!$B:$B,ROW()-2)),INDEX('⚙ Setup'!$B:$B,ROW()-2),0),0)</f>
        <v>0</v>
      </c>
      <c r="E31" s="43">
        <f t="shared" si="0"/>
        <v>-80</v>
      </c>
      <c r="F31" s="3"/>
      <c r="G31" s="3"/>
      <c r="H31" s="3"/>
      <c r="I31" s="3"/>
    </row>
    <row r="32" spans="1:9" ht="15" customHeight="1" x14ac:dyDescent="0.35">
      <c r="A32" s="45" t="s">
        <v>31</v>
      </c>
      <c r="B32" s="3"/>
      <c r="C32" s="46">
        <f>SUM(C17:C31)</f>
        <v>3560</v>
      </c>
      <c r="D32" s="42">
        <f>SUM(D17:D31)</f>
        <v>0</v>
      </c>
      <c r="E32" s="3"/>
      <c r="F32" s="3"/>
      <c r="G32" s="3"/>
      <c r="H32" s="3"/>
      <c r="I32" s="3"/>
    </row>
    <row r="33" spans="1:9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35">
      <c r="A34" s="47" t="s">
        <v>73</v>
      </c>
      <c r="B34" s="3"/>
      <c r="C34" s="48">
        <f>C13-C32</f>
        <v>1820</v>
      </c>
      <c r="D34" s="3"/>
      <c r="E34" s="3"/>
      <c r="F34" s="3"/>
      <c r="G34" s="3"/>
      <c r="H34" s="3"/>
      <c r="I34" s="3"/>
    </row>
    <row r="35" spans="1: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</row>
    <row r="36" spans="1:9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</row>
    <row r="38" spans="1: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</row>
    <row r="40" spans="1:9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</row>
    <row r="41" spans="1:9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</row>
    <row r="43" spans="1: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</row>
    <row r="45" spans="1: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</row>
    <row r="46" spans="1: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</row>
    <row r="47" spans="1: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</row>
    <row r="48" spans="1:9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</row>
    <row r="49" spans="1: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</row>
    <row r="52" spans="1:9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</row>
    <row r="53" spans="1:9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</row>
    <row r="54" spans="1:9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</row>
    <row r="55" spans="1:9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</row>
    <row r="56" spans="1:9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</row>
    <row r="57" spans="1:9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</row>
    <row r="58" spans="1:9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</row>
    <row r="59" spans="1:9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59E0B"/>
  </sheetPr>
  <dimension ref="A1:I5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E1"/>
    </sheetView>
  </sheetViews>
  <sheetFormatPr baseColWidth="10" defaultColWidth="8.6328125" defaultRowHeight="14.5" x14ac:dyDescent="0.35"/>
  <cols>
    <col min="1" max="1" width="26" customWidth="1"/>
    <col min="2" max="2" width="18" customWidth="1"/>
    <col min="3" max="5" width="15" customWidth="1"/>
  </cols>
  <sheetData>
    <row r="1" spans="1:9" ht="27.75" customHeight="1" x14ac:dyDescent="0.35">
      <c r="A1" s="180" t="str">
        <f>"📅 NOV "&amp;'⚙ Setup'!$B$10&amp;"  ·  Monthly Budget"</f>
        <v>📅 NOV 2026  ·  Monthly Budget</v>
      </c>
      <c r="B1" s="180"/>
      <c r="C1" s="180"/>
      <c r="D1" s="180"/>
      <c r="E1" s="180"/>
      <c r="F1" s="3"/>
      <c r="G1" s="3"/>
      <c r="H1" s="3"/>
      <c r="I1" s="3"/>
    </row>
    <row r="2" spans="1:9" ht="15" customHeight="1" x14ac:dyDescent="0.35">
      <c r="A2" s="2" t="s">
        <v>56</v>
      </c>
      <c r="B2" s="3"/>
      <c r="C2" s="2" t="s">
        <v>57</v>
      </c>
      <c r="D2" s="3"/>
      <c r="E2" s="2" t="s">
        <v>58</v>
      </c>
      <c r="F2" s="3"/>
      <c r="G2" s="3"/>
      <c r="H2" s="3"/>
      <c r="I2" s="3"/>
    </row>
    <row r="3" spans="1:9" ht="18" customHeight="1" x14ac:dyDescent="0.35">
      <c r="A3" s="29">
        <f>C4</f>
        <v>5080</v>
      </c>
      <c r="B3" s="3"/>
      <c r="C3" s="30">
        <f>C5</f>
        <v>4135</v>
      </c>
      <c r="D3" s="3"/>
      <c r="E3" s="31">
        <f>C4-C5</f>
        <v>945</v>
      </c>
      <c r="F3" s="3"/>
      <c r="G3" s="3"/>
      <c r="H3" s="3"/>
      <c r="I3" s="3"/>
    </row>
    <row r="4" spans="1:9" ht="1.5" customHeight="1" x14ac:dyDescent="0.35">
      <c r="A4" s="3"/>
      <c r="B4" s="32" t="s">
        <v>59</v>
      </c>
      <c r="C4" s="32">
        <f>IFERROR(C13,0)</f>
        <v>5080</v>
      </c>
      <c r="D4" s="3"/>
      <c r="E4" s="3"/>
      <c r="F4" s="3"/>
      <c r="G4" s="3"/>
      <c r="H4" s="3"/>
      <c r="I4" s="3"/>
    </row>
    <row r="5" spans="1:9" ht="1.5" customHeight="1" x14ac:dyDescent="0.35">
      <c r="A5" s="3"/>
      <c r="B5" s="32" t="s">
        <v>60</v>
      </c>
      <c r="C5" s="32">
        <f>IFERROR(C32,0)</f>
        <v>4135</v>
      </c>
      <c r="D5" s="3"/>
      <c r="E5" s="3"/>
      <c r="F5" s="3"/>
      <c r="G5" s="3"/>
      <c r="H5" s="3"/>
      <c r="I5" s="3"/>
    </row>
    <row r="6" spans="1:9" ht="24" customHeight="1" x14ac:dyDescent="0.35">
      <c r="A6" s="5" t="s">
        <v>38</v>
      </c>
      <c r="B6" s="3"/>
      <c r="C6" s="3"/>
      <c r="D6" s="3"/>
      <c r="E6" s="3"/>
      <c r="F6" s="3"/>
      <c r="G6" s="3"/>
      <c r="H6" s="3"/>
      <c r="I6" s="3"/>
    </row>
    <row r="7" spans="1:9" ht="15" customHeight="1" x14ac:dyDescent="0.35">
      <c r="A7" s="33" t="s">
        <v>61</v>
      </c>
      <c r="B7" s="33" t="s">
        <v>62</v>
      </c>
      <c r="C7" s="33" t="s">
        <v>63</v>
      </c>
      <c r="D7" s="33" t="s">
        <v>64</v>
      </c>
      <c r="E7" s="33" t="s">
        <v>65</v>
      </c>
      <c r="F7" s="3"/>
      <c r="G7" s="3"/>
      <c r="H7" s="3"/>
      <c r="I7" s="3"/>
    </row>
    <row r="8" spans="1:9" ht="15" customHeight="1" x14ac:dyDescent="0.35">
      <c r="A8" s="34" t="s">
        <v>66</v>
      </c>
      <c r="B8" s="35"/>
      <c r="C8" s="16">
        <f>IFERROR('⚙ Setup'!$B$7,0)</f>
        <v>5000</v>
      </c>
      <c r="D8" s="16">
        <f>IFERROR(IF(ISNUMBER('⚙ Setup'!$B$7),'⚙ Setup'!$B$7,0),0)</f>
        <v>5000</v>
      </c>
      <c r="E8" s="36">
        <f>C8-D8</f>
        <v>0</v>
      </c>
      <c r="F8" s="3"/>
      <c r="G8" s="3"/>
      <c r="H8" s="3"/>
      <c r="I8" s="3"/>
    </row>
    <row r="9" spans="1:9" ht="15" customHeight="1" x14ac:dyDescent="0.35">
      <c r="A9" s="37" t="s">
        <v>67</v>
      </c>
      <c r="B9" s="38"/>
      <c r="C9" s="22">
        <v>0</v>
      </c>
      <c r="D9" s="22">
        <v>0</v>
      </c>
      <c r="E9" s="39">
        <f>C9-D9</f>
        <v>0</v>
      </c>
      <c r="F9" s="3"/>
      <c r="G9" s="3"/>
      <c r="H9" s="3"/>
      <c r="I9" s="3"/>
    </row>
    <row r="10" spans="1:9" ht="15" customHeight="1" x14ac:dyDescent="0.35">
      <c r="A10" s="34" t="s">
        <v>68</v>
      </c>
      <c r="B10" s="35"/>
      <c r="C10" s="16">
        <v>0</v>
      </c>
      <c r="D10" s="16">
        <v>200</v>
      </c>
      <c r="E10" s="36">
        <f>C10-D10</f>
        <v>-200</v>
      </c>
      <c r="F10" s="3"/>
      <c r="G10" s="3"/>
      <c r="H10" s="3"/>
      <c r="I10" s="3"/>
    </row>
    <row r="11" spans="1:9" ht="15" customHeight="1" x14ac:dyDescent="0.35">
      <c r="A11" s="37" t="s">
        <v>69</v>
      </c>
      <c r="B11" s="38"/>
      <c r="C11" s="22">
        <v>80</v>
      </c>
      <c r="D11" s="22">
        <v>50</v>
      </c>
      <c r="E11" s="39">
        <f>C11-D11</f>
        <v>30</v>
      </c>
      <c r="F11" s="3"/>
      <c r="G11" s="3"/>
      <c r="H11" s="3"/>
      <c r="I11" s="3"/>
    </row>
    <row r="12" spans="1:9" ht="15" customHeight="1" x14ac:dyDescent="0.35">
      <c r="A12" s="34" t="s">
        <v>70</v>
      </c>
      <c r="B12" s="35"/>
      <c r="C12" s="16">
        <v>0</v>
      </c>
      <c r="D12" s="16">
        <v>0</v>
      </c>
      <c r="E12" s="36">
        <f>C12-D12</f>
        <v>0</v>
      </c>
      <c r="F12" s="3"/>
      <c r="G12" s="3"/>
      <c r="H12" s="3"/>
      <c r="I12" s="3"/>
    </row>
    <row r="13" spans="1:9" ht="15" customHeight="1" x14ac:dyDescent="0.35">
      <c r="A13" s="40" t="s">
        <v>30</v>
      </c>
      <c r="B13" s="3"/>
      <c r="C13" s="41">
        <f>SUM(C8:C12)</f>
        <v>5080</v>
      </c>
      <c r="D13" s="42">
        <f>SUM(D8:D12)</f>
        <v>5250</v>
      </c>
      <c r="E13" s="3"/>
      <c r="F13" s="3"/>
      <c r="G13" s="3"/>
      <c r="H13" s="3"/>
      <c r="I13" s="3"/>
    </row>
    <row r="14" spans="1:9" ht="15" customHeight="1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9" ht="24" customHeight="1" x14ac:dyDescent="0.35">
      <c r="A15" s="5" t="s">
        <v>39</v>
      </c>
      <c r="B15" s="3"/>
      <c r="C15" s="3"/>
      <c r="D15" s="3"/>
      <c r="E15" s="3"/>
      <c r="F15" s="3"/>
      <c r="G15" s="3"/>
      <c r="H15" s="3"/>
      <c r="I15" s="3"/>
    </row>
    <row r="16" spans="1:9" ht="15" customHeight="1" x14ac:dyDescent="0.35">
      <c r="A16" s="33" t="s">
        <v>71</v>
      </c>
      <c r="B16" s="33" t="s">
        <v>62</v>
      </c>
      <c r="C16" s="33" t="s">
        <v>72</v>
      </c>
      <c r="D16" s="33" t="s">
        <v>64</v>
      </c>
      <c r="E16" s="33" t="s">
        <v>65</v>
      </c>
      <c r="F16" s="3"/>
      <c r="G16" s="3"/>
      <c r="H16" s="3"/>
      <c r="I16" s="3"/>
    </row>
    <row r="17" spans="1:9" ht="15" customHeight="1" x14ac:dyDescent="0.35">
      <c r="A17" s="34" t="s">
        <v>13</v>
      </c>
      <c r="B17" s="35"/>
      <c r="C17" s="16">
        <v>1500</v>
      </c>
      <c r="D17" s="16" cm="1">
        <f t="array" ref="D17">IFERROR(IF(ISNUMBER(INDEX('⚙ Setup'!$B:$B,ROW()-2)),INDEX('⚙ Setup'!$B:$B,ROW()-2),0),0)</f>
        <v>0</v>
      </c>
      <c r="E17" s="43">
        <f t="shared" ref="E17:E31" si="0">D17-C17</f>
        <v>-1500</v>
      </c>
      <c r="F17" s="3"/>
      <c r="G17" s="3"/>
      <c r="H17" s="3"/>
      <c r="I17" s="3"/>
    </row>
    <row r="18" spans="1:9" ht="15" customHeight="1" x14ac:dyDescent="0.35">
      <c r="A18" s="37" t="s">
        <v>15</v>
      </c>
      <c r="B18" s="38"/>
      <c r="C18" s="22">
        <v>360</v>
      </c>
      <c r="D18" s="22" cm="1">
        <f t="array" ref="D18">IFERROR(IF(ISNUMBER(INDEX('⚙ Setup'!$B:$B,ROW()-2)),INDEX('⚙ Setup'!$B:$B,ROW()-2),0),0)</f>
        <v>0</v>
      </c>
      <c r="E18" s="44">
        <f t="shared" si="0"/>
        <v>-360</v>
      </c>
      <c r="F18" s="3"/>
      <c r="G18" s="3"/>
      <c r="H18" s="3"/>
      <c r="I18" s="3"/>
    </row>
    <row r="19" spans="1:9" ht="15" customHeight="1" x14ac:dyDescent="0.35">
      <c r="A19" s="34" t="s">
        <v>16</v>
      </c>
      <c r="B19" s="35"/>
      <c r="C19" s="16">
        <v>700</v>
      </c>
      <c r="D19" s="16" cm="1">
        <f t="array" ref="D19">IFERROR(IF(ISNUMBER(INDEX('⚙ Setup'!$B:$B,ROW()-2)),INDEX('⚙ Setup'!$B:$B,ROW()-2),0),0)</f>
        <v>0</v>
      </c>
      <c r="E19" s="43">
        <f t="shared" si="0"/>
        <v>-700</v>
      </c>
      <c r="F19" s="3"/>
      <c r="G19" s="3"/>
      <c r="H19" s="3"/>
      <c r="I19" s="3"/>
    </row>
    <row r="20" spans="1:9" ht="15" customHeight="1" x14ac:dyDescent="0.35">
      <c r="A20" s="37" t="s">
        <v>17</v>
      </c>
      <c r="B20" s="38"/>
      <c r="C20" s="22">
        <v>190</v>
      </c>
      <c r="D20" s="22" cm="1">
        <f t="array" ref="D20">IFERROR(IF(ISNUMBER(INDEX('⚙ Setup'!$B:$B,ROW()-2)),INDEX('⚙ Setup'!$B:$B,ROW()-2),0),0)</f>
        <v>0</v>
      </c>
      <c r="E20" s="44">
        <f t="shared" si="0"/>
        <v>-190</v>
      </c>
      <c r="F20" s="3"/>
      <c r="G20" s="3"/>
      <c r="H20" s="3"/>
      <c r="I20" s="3"/>
    </row>
    <row r="21" spans="1:9" ht="15" customHeight="1" x14ac:dyDescent="0.35">
      <c r="A21" s="34" t="s">
        <v>18</v>
      </c>
      <c r="B21" s="35"/>
      <c r="C21" s="16">
        <v>250</v>
      </c>
      <c r="D21" s="16" cm="1">
        <f t="array" ref="D21">IFERROR(IF(ISNUMBER(INDEX('⚙ Setup'!$B:$B,ROW()-2)),INDEX('⚙ Setup'!$B:$B,ROW()-2),0),0)</f>
        <v>0</v>
      </c>
      <c r="E21" s="43">
        <f t="shared" si="0"/>
        <v>-250</v>
      </c>
      <c r="F21" s="3"/>
      <c r="G21" s="3"/>
      <c r="H21" s="3"/>
      <c r="I21" s="3"/>
    </row>
    <row r="22" spans="1:9" ht="15" customHeight="1" x14ac:dyDescent="0.35">
      <c r="A22" s="37" t="s">
        <v>19</v>
      </c>
      <c r="B22" s="38"/>
      <c r="C22" s="22">
        <v>100</v>
      </c>
      <c r="D22" s="22" cm="1">
        <f t="array" ref="D22">IFERROR(IF(ISNUMBER(INDEX('⚙ Setup'!$B:$B,ROW()-2)),INDEX('⚙ Setup'!$B:$B,ROW()-2),0),0)</f>
        <v>0</v>
      </c>
      <c r="E22" s="44">
        <f t="shared" si="0"/>
        <v>-100</v>
      </c>
      <c r="F22" s="3"/>
      <c r="G22" s="3"/>
      <c r="H22" s="3"/>
      <c r="I22" s="3"/>
    </row>
    <row r="23" spans="1:9" ht="15" customHeight="1" x14ac:dyDescent="0.35">
      <c r="A23" s="34" t="s">
        <v>20</v>
      </c>
      <c r="B23" s="35"/>
      <c r="C23" s="16">
        <v>180</v>
      </c>
      <c r="D23" s="16" cm="1">
        <f t="array" ref="D23">IFERROR(IF(ISNUMBER(INDEX('⚙ Setup'!$B:$B,ROW()-2)),INDEX('⚙ Setup'!$B:$B,ROW()-2),0),0)</f>
        <v>0</v>
      </c>
      <c r="E23" s="43">
        <f t="shared" si="0"/>
        <v>-180</v>
      </c>
      <c r="F23" s="3"/>
      <c r="G23" s="3"/>
      <c r="H23" s="3"/>
      <c r="I23" s="3"/>
    </row>
    <row r="24" spans="1:9" ht="15" customHeight="1" x14ac:dyDescent="0.35">
      <c r="A24" s="37" t="s">
        <v>21</v>
      </c>
      <c r="B24" s="38"/>
      <c r="C24" s="22">
        <v>300</v>
      </c>
      <c r="D24" s="22" cm="1">
        <f t="array" ref="D24">IFERROR(IF(ISNUMBER(INDEX('⚙ Setup'!$B:$B,ROW()-2)),INDEX('⚙ Setup'!$B:$B,ROW()-2),0),0)</f>
        <v>0</v>
      </c>
      <c r="E24" s="44">
        <f t="shared" si="0"/>
        <v>-300</v>
      </c>
      <c r="F24" s="3"/>
      <c r="G24" s="3"/>
      <c r="H24" s="3"/>
      <c r="I24" s="3"/>
    </row>
    <row r="25" spans="1:9" ht="15" customHeight="1" x14ac:dyDescent="0.35">
      <c r="A25" s="34" t="s">
        <v>22</v>
      </c>
      <c r="B25" s="35"/>
      <c r="C25" s="16">
        <v>60</v>
      </c>
      <c r="D25" s="16" cm="1">
        <f t="array" ref="D25">IFERROR(IF(ISNUMBER(INDEX('⚙ Setup'!$B:$B,ROW()-2)),INDEX('⚙ Setup'!$B:$B,ROW()-2),0),0)</f>
        <v>0</v>
      </c>
      <c r="E25" s="43">
        <f t="shared" si="0"/>
        <v>-60</v>
      </c>
      <c r="F25" s="3"/>
      <c r="G25" s="3"/>
      <c r="H25" s="3"/>
      <c r="I25" s="3"/>
    </row>
    <row r="26" spans="1:9" ht="15" customHeight="1" x14ac:dyDescent="0.35">
      <c r="A26" s="37" t="s">
        <v>23</v>
      </c>
      <c r="B26" s="38"/>
      <c r="C26" s="22">
        <v>0</v>
      </c>
      <c r="D26" s="22" cm="1">
        <f t="array" ref="D26">IFERROR(IF(ISNUMBER(INDEX('⚙ Setup'!$B:$B,ROW()-2)),INDEX('⚙ Setup'!$B:$B,ROW()-2),0),0)</f>
        <v>0</v>
      </c>
      <c r="E26" s="44">
        <f t="shared" si="0"/>
        <v>0</v>
      </c>
      <c r="F26" s="3"/>
      <c r="G26" s="3"/>
      <c r="H26" s="3"/>
      <c r="I26" s="3"/>
    </row>
    <row r="27" spans="1:9" ht="15" customHeight="1" x14ac:dyDescent="0.35">
      <c r="A27" s="34" t="s">
        <v>24</v>
      </c>
      <c r="B27" s="35"/>
      <c r="C27" s="16">
        <v>75</v>
      </c>
      <c r="D27" s="16" cm="1">
        <f t="array" ref="D27">IFERROR(IF(ISNUMBER(INDEX('⚙ Setup'!$B:$B,ROW()-2)),INDEX('⚙ Setup'!$B:$B,ROW()-2),0),0)</f>
        <v>0</v>
      </c>
      <c r="E27" s="43">
        <f t="shared" si="0"/>
        <v>-75</v>
      </c>
      <c r="F27" s="3"/>
      <c r="G27" s="3"/>
      <c r="H27" s="3"/>
      <c r="I27" s="3"/>
    </row>
    <row r="28" spans="1:9" ht="15" customHeight="1" x14ac:dyDescent="0.35">
      <c r="A28" s="37" t="s">
        <v>25</v>
      </c>
      <c r="B28" s="38"/>
      <c r="C28" s="22">
        <v>0</v>
      </c>
      <c r="D28" s="22" cm="1">
        <f t="array" ref="D28">IFERROR(IF(ISNUMBER(INDEX('⚙ Setup'!$B:$B,ROW()-2)),INDEX('⚙ Setup'!$B:$B,ROW()-2),0),0)</f>
        <v>0</v>
      </c>
      <c r="E28" s="44">
        <f t="shared" si="0"/>
        <v>0</v>
      </c>
      <c r="F28" s="3"/>
      <c r="G28" s="3"/>
      <c r="H28" s="3"/>
      <c r="I28" s="3"/>
    </row>
    <row r="29" spans="1:9" ht="15" customHeight="1" x14ac:dyDescent="0.35">
      <c r="A29" s="34" t="s">
        <v>26</v>
      </c>
      <c r="B29" s="35"/>
      <c r="C29" s="16">
        <v>300</v>
      </c>
      <c r="D29" s="16" cm="1">
        <f t="array" ref="D29">IFERROR(IF(ISNUMBER(INDEX('⚙ Setup'!$B:$B,ROW()-2)),INDEX('⚙ Setup'!$B:$B,ROW()-2),0),0)</f>
        <v>0</v>
      </c>
      <c r="E29" s="43">
        <f t="shared" si="0"/>
        <v>-300</v>
      </c>
      <c r="F29" s="3"/>
      <c r="G29" s="3"/>
      <c r="H29" s="3"/>
      <c r="I29" s="3"/>
    </row>
    <row r="30" spans="1:9" ht="15" customHeight="1" x14ac:dyDescent="0.35">
      <c r="A30" s="37" t="s">
        <v>27</v>
      </c>
      <c r="B30" s="38"/>
      <c r="C30" s="22">
        <v>0</v>
      </c>
      <c r="D30" s="22" cm="1">
        <f t="array" ref="D30">IFERROR(IF(ISNUMBER(INDEX('⚙ Setup'!$B:$B,ROW()-2)),INDEX('⚙ Setup'!$B:$B,ROW()-2),0),0)</f>
        <v>0</v>
      </c>
      <c r="E30" s="44">
        <f t="shared" si="0"/>
        <v>0</v>
      </c>
      <c r="F30" s="3"/>
      <c r="G30" s="3"/>
      <c r="H30" s="3"/>
      <c r="I30" s="3"/>
    </row>
    <row r="31" spans="1:9" ht="15" customHeight="1" x14ac:dyDescent="0.35">
      <c r="A31" s="34" t="s">
        <v>28</v>
      </c>
      <c r="B31" s="35"/>
      <c r="C31" s="16">
        <v>120</v>
      </c>
      <c r="D31" s="16" cm="1">
        <f t="array" ref="D31">IFERROR(IF(ISNUMBER(INDEX('⚙ Setup'!$B:$B,ROW()-2)),INDEX('⚙ Setup'!$B:$B,ROW()-2),0),0)</f>
        <v>0</v>
      </c>
      <c r="E31" s="43">
        <f t="shared" si="0"/>
        <v>-120</v>
      </c>
      <c r="F31" s="3"/>
      <c r="G31" s="3"/>
      <c r="H31" s="3"/>
      <c r="I31" s="3"/>
    </row>
    <row r="32" spans="1:9" ht="15" customHeight="1" x14ac:dyDescent="0.35">
      <c r="A32" s="45" t="s">
        <v>31</v>
      </c>
      <c r="B32" s="3"/>
      <c r="C32" s="46">
        <f>SUM(C17:C31)</f>
        <v>4135</v>
      </c>
      <c r="D32" s="42">
        <f>SUM(D17:D31)</f>
        <v>0</v>
      </c>
      <c r="E32" s="3"/>
      <c r="F32" s="3"/>
      <c r="G32" s="3"/>
      <c r="H32" s="3"/>
      <c r="I32" s="3"/>
    </row>
    <row r="33" spans="1:9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35">
      <c r="A34" s="47" t="s">
        <v>73</v>
      </c>
      <c r="B34" s="3"/>
      <c r="C34" s="48">
        <f>C13-C32</f>
        <v>945</v>
      </c>
      <c r="D34" s="3"/>
      <c r="E34" s="3"/>
      <c r="F34" s="3"/>
      <c r="G34" s="3"/>
      <c r="H34" s="3"/>
      <c r="I34" s="3"/>
    </row>
    <row r="35" spans="1: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</row>
    <row r="36" spans="1:9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</row>
    <row r="38" spans="1: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</row>
    <row r="40" spans="1:9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</row>
    <row r="41" spans="1:9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</row>
    <row r="43" spans="1: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</row>
    <row r="45" spans="1: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</row>
    <row r="46" spans="1: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</row>
    <row r="47" spans="1: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</row>
    <row r="48" spans="1:9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</row>
    <row r="49" spans="1: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</row>
    <row r="52" spans="1:9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</row>
    <row r="53" spans="1:9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</row>
    <row r="54" spans="1:9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</row>
    <row r="55" spans="1:9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</row>
    <row r="56" spans="1:9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</row>
    <row r="57" spans="1:9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</row>
    <row r="58" spans="1:9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</row>
    <row r="59" spans="1:9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59E0B"/>
  </sheetPr>
  <dimension ref="A1:I5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E1"/>
    </sheetView>
  </sheetViews>
  <sheetFormatPr baseColWidth="10" defaultColWidth="8.6328125" defaultRowHeight="14.5" x14ac:dyDescent="0.35"/>
  <cols>
    <col min="1" max="1" width="26" customWidth="1"/>
    <col min="2" max="2" width="18" customWidth="1"/>
    <col min="3" max="5" width="15" customWidth="1"/>
  </cols>
  <sheetData>
    <row r="1" spans="1:9" ht="27.75" customHeight="1" x14ac:dyDescent="0.35">
      <c r="A1" s="180" t="str">
        <f>"📅 DEC "&amp;'⚙ Setup'!$B$10&amp;"  ·  Monthly Budget"</f>
        <v>📅 DEC 2026  ·  Monthly Budget</v>
      </c>
      <c r="B1" s="180"/>
      <c r="C1" s="180"/>
      <c r="D1" s="180"/>
      <c r="E1" s="180"/>
      <c r="F1" s="3"/>
      <c r="G1" s="3"/>
      <c r="H1" s="3"/>
      <c r="I1" s="3"/>
    </row>
    <row r="2" spans="1:9" ht="15" customHeight="1" x14ac:dyDescent="0.35">
      <c r="A2" s="2" t="s">
        <v>56</v>
      </c>
      <c r="B2" s="3"/>
      <c r="C2" s="2" t="s">
        <v>57</v>
      </c>
      <c r="D2" s="3"/>
      <c r="E2" s="2" t="s">
        <v>58</v>
      </c>
      <c r="F2" s="3"/>
      <c r="G2" s="3"/>
      <c r="H2" s="3"/>
      <c r="I2" s="3"/>
    </row>
    <row r="3" spans="1:9" ht="18" customHeight="1" x14ac:dyDescent="0.35">
      <c r="A3" s="29">
        <f>C4</f>
        <v>5080</v>
      </c>
      <c r="B3" s="3"/>
      <c r="C3" s="30">
        <f>C5</f>
        <v>4835</v>
      </c>
      <c r="D3" s="3"/>
      <c r="E3" s="31">
        <f>C4-C5</f>
        <v>245</v>
      </c>
      <c r="F3" s="3"/>
      <c r="G3" s="3"/>
      <c r="H3" s="3"/>
      <c r="I3" s="3"/>
    </row>
    <row r="4" spans="1:9" ht="1.5" customHeight="1" x14ac:dyDescent="0.35">
      <c r="A4" s="3"/>
      <c r="B4" s="32" t="s">
        <v>59</v>
      </c>
      <c r="C4" s="32">
        <f>IFERROR(C13,0)</f>
        <v>5080</v>
      </c>
      <c r="D4" s="3"/>
      <c r="E4" s="3"/>
      <c r="F4" s="3"/>
      <c r="G4" s="3"/>
      <c r="H4" s="3"/>
      <c r="I4" s="3"/>
    </row>
    <row r="5" spans="1:9" ht="1.5" customHeight="1" x14ac:dyDescent="0.35">
      <c r="A5" s="3"/>
      <c r="B5" s="32" t="s">
        <v>60</v>
      </c>
      <c r="C5" s="32">
        <f>IFERROR(C32,0)</f>
        <v>4835</v>
      </c>
      <c r="D5" s="3"/>
      <c r="E5" s="3"/>
      <c r="F5" s="3"/>
      <c r="G5" s="3"/>
      <c r="H5" s="3"/>
      <c r="I5" s="3"/>
    </row>
    <row r="6" spans="1:9" ht="24" customHeight="1" x14ac:dyDescent="0.35">
      <c r="A6" s="5" t="s">
        <v>38</v>
      </c>
      <c r="B6" s="3"/>
      <c r="C6" s="3"/>
      <c r="D6" s="3"/>
      <c r="E6" s="3"/>
      <c r="F6" s="3"/>
      <c r="G6" s="3"/>
      <c r="H6" s="3"/>
      <c r="I6" s="3"/>
    </row>
    <row r="7" spans="1:9" ht="15" customHeight="1" x14ac:dyDescent="0.35">
      <c r="A7" s="33" t="s">
        <v>61</v>
      </c>
      <c r="B7" s="33" t="s">
        <v>62</v>
      </c>
      <c r="C7" s="33" t="s">
        <v>63</v>
      </c>
      <c r="D7" s="33" t="s">
        <v>64</v>
      </c>
      <c r="E7" s="33" t="s">
        <v>65</v>
      </c>
      <c r="F7" s="3"/>
      <c r="G7" s="3"/>
      <c r="H7" s="3"/>
      <c r="I7" s="3"/>
    </row>
    <row r="8" spans="1:9" ht="15" customHeight="1" x14ac:dyDescent="0.35">
      <c r="A8" s="34" t="s">
        <v>66</v>
      </c>
      <c r="B8" s="35"/>
      <c r="C8" s="16">
        <f>IFERROR('⚙ Setup'!$B$7,0)</f>
        <v>5000</v>
      </c>
      <c r="D8" s="16">
        <f>IFERROR(IF(ISNUMBER('⚙ Setup'!$B$7),'⚙ Setup'!$B$7,0),0)</f>
        <v>5000</v>
      </c>
      <c r="E8" s="36">
        <f>C8-D8</f>
        <v>0</v>
      </c>
      <c r="F8" s="3"/>
      <c r="G8" s="3"/>
      <c r="H8" s="3"/>
      <c r="I8" s="3"/>
    </row>
    <row r="9" spans="1:9" ht="15" customHeight="1" x14ac:dyDescent="0.35">
      <c r="A9" s="37" t="s">
        <v>67</v>
      </c>
      <c r="B9" s="38"/>
      <c r="C9" s="22">
        <v>0</v>
      </c>
      <c r="D9" s="22">
        <v>0</v>
      </c>
      <c r="E9" s="39">
        <f>C9-D9</f>
        <v>0</v>
      </c>
      <c r="F9" s="3"/>
      <c r="G9" s="3"/>
      <c r="H9" s="3"/>
      <c r="I9" s="3"/>
    </row>
    <row r="10" spans="1:9" ht="15" customHeight="1" x14ac:dyDescent="0.35">
      <c r="A10" s="34" t="s">
        <v>68</v>
      </c>
      <c r="B10" s="35"/>
      <c r="C10" s="16">
        <v>0</v>
      </c>
      <c r="D10" s="16">
        <v>200</v>
      </c>
      <c r="E10" s="36">
        <f>C10-D10</f>
        <v>-200</v>
      </c>
      <c r="F10" s="3"/>
      <c r="G10" s="3"/>
      <c r="H10" s="3"/>
      <c r="I10" s="3"/>
    </row>
    <row r="11" spans="1:9" ht="15" customHeight="1" x14ac:dyDescent="0.35">
      <c r="A11" s="37" t="s">
        <v>69</v>
      </c>
      <c r="B11" s="38"/>
      <c r="C11" s="22">
        <v>80</v>
      </c>
      <c r="D11" s="22">
        <v>50</v>
      </c>
      <c r="E11" s="39">
        <f>C11-D11</f>
        <v>30</v>
      </c>
      <c r="F11" s="3"/>
      <c r="G11" s="3"/>
      <c r="H11" s="3"/>
      <c r="I11" s="3"/>
    </row>
    <row r="12" spans="1:9" ht="15" customHeight="1" x14ac:dyDescent="0.35">
      <c r="A12" s="34" t="s">
        <v>70</v>
      </c>
      <c r="B12" s="35"/>
      <c r="C12" s="16">
        <v>0</v>
      </c>
      <c r="D12" s="16">
        <v>0</v>
      </c>
      <c r="E12" s="36">
        <f>C12-D12</f>
        <v>0</v>
      </c>
      <c r="F12" s="3"/>
      <c r="G12" s="3"/>
      <c r="H12" s="3"/>
      <c r="I12" s="3"/>
    </row>
    <row r="13" spans="1:9" ht="15" customHeight="1" x14ac:dyDescent="0.35">
      <c r="A13" s="40" t="s">
        <v>30</v>
      </c>
      <c r="B13" s="3"/>
      <c r="C13" s="41">
        <f>SUM(C8:C12)</f>
        <v>5080</v>
      </c>
      <c r="D13" s="42">
        <f>SUM(D8:D12)</f>
        <v>5250</v>
      </c>
      <c r="E13" s="3"/>
      <c r="F13" s="3"/>
      <c r="G13" s="3"/>
      <c r="H13" s="3"/>
      <c r="I13" s="3"/>
    </row>
    <row r="14" spans="1:9" ht="15" customHeight="1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9" ht="24" customHeight="1" x14ac:dyDescent="0.35">
      <c r="A15" s="5" t="s">
        <v>39</v>
      </c>
      <c r="B15" s="3"/>
      <c r="C15" s="3"/>
      <c r="D15" s="3"/>
      <c r="E15" s="3"/>
      <c r="F15" s="3"/>
      <c r="G15" s="3"/>
      <c r="H15" s="3"/>
      <c r="I15" s="3"/>
    </row>
    <row r="16" spans="1:9" ht="15" customHeight="1" x14ac:dyDescent="0.35">
      <c r="A16" s="33" t="s">
        <v>71</v>
      </c>
      <c r="B16" s="33" t="s">
        <v>62</v>
      </c>
      <c r="C16" s="33" t="s">
        <v>72</v>
      </c>
      <c r="D16" s="33" t="s">
        <v>64</v>
      </c>
      <c r="E16" s="33" t="s">
        <v>65</v>
      </c>
      <c r="F16" s="3"/>
      <c r="G16" s="3"/>
      <c r="H16" s="3"/>
      <c r="I16" s="3"/>
    </row>
    <row r="17" spans="1:9" ht="15" customHeight="1" x14ac:dyDescent="0.35">
      <c r="A17" s="34" t="s">
        <v>13</v>
      </c>
      <c r="B17" s="35"/>
      <c r="C17" s="16">
        <v>1500</v>
      </c>
      <c r="D17" s="16" cm="1">
        <f t="array" ref="D17">IFERROR(IF(ISNUMBER(INDEX('⚙ Setup'!$B:$B,ROW()-2)),INDEX('⚙ Setup'!$B:$B,ROW()-2),0),0)</f>
        <v>0</v>
      </c>
      <c r="E17" s="43">
        <f t="shared" ref="E17:E31" si="0">D17-C17</f>
        <v>-1500</v>
      </c>
      <c r="F17" s="3"/>
      <c r="G17" s="3"/>
      <c r="H17" s="3"/>
      <c r="I17" s="3"/>
    </row>
    <row r="18" spans="1:9" ht="15" customHeight="1" x14ac:dyDescent="0.35">
      <c r="A18" s="37" t="s">
        <v>15</v>
      </c>
      <c r="B18" s="38"/>
      <c r="C18" s="22">
        <v>380</v>
      </c>
      <c r="D18" s="22" cm="1">
        <f t="array" ref="D18">IFERROR(IF(ISNUMBER(INDEX('⚙ Setup'!$B:$B,ROW()-2)),INDEX('⚙ Setup'!$B:$B,ROW()-2),0),0)</f>
        <v>0</v>
      </c>
      <c r="E18" s="44">
        <f t="shared" si="0"/>
        <v>-380</v>
      </c>
      <c r="F18" s="3"/>
      <c r="G18" s="3"/>
      <c r="H18" s="3"/>
      <c r="I18" s="3"/>
    </row>
    <row r="19" spans="1:9" ht="15" customHeight="1" x14ac:dyDescent="0.35">
      <c r="A19" s="34" t="s">
        <v>16</v>
      </c>
      <c r="B19" s="35"/>
      <c r="C19" s="16">
        <v>800</v>
      </c>
      <c r="D19" s="16" cm="1">
        <f t="array" ref="D19">IFERROR(IF(ISNUMBER(INDEX('⚙ Setup'!$B:$B,ROW()-2)),INDEX('⚙ Setup'!$B:$B,ROW()-2),0),0)</f>
        <v>0</v>
      </c>
      <c r="E19" s="43">
        <f t="shared" si="0"/>
        <v>-800</v>
      </c>
      <c r="F19" s="3"/>
      <c r="G19" s="3"/>
      <c r="H19" s="3"/>
      <c r="I19" s="3"/>
    </row>
    <row r="20" spans="1:9" ht="15" customHeight="1" x14ac:dyDescent="0.35">
      <c r="A20" s="37" t="s">
        <v>17</v>
      </c>
      <c r="B20" s="38"/>
      <c r="C20" s="22">
        <v>200</v>
      </c>
      <c r="D20" s="22" cm="1">
        <f t="array" ref="D20">IFERROR(IF(ISNUMBER(INDEX('⚙ Setup'!$B:$B,ROW()-2)),INDEX('⚙ Setup'!$B:$B,ROW()-2),0),0)</f>
        <v>0</v>
      </c>
      <c r="E20" s="44">
        <f t="shared" si="0"/>
        <v>-200</v>
      </c>
      <c r="F20" s="3"/>
      <c r="G20" s="3"/>
      <c r="H20" s="3"/>
      <c r="I20" s="3"/>
    </row>
    <row r="21" spans="1:9" ht="15" customHeight="1" x14ac:dyDescent="0.35">
      <c r="A21" s="34" t="s">
        <v>18</v>
      </c>
      <c r="B21" s="35"/>
      <c r="C21" s="16">
        <v>250</v>
      </c>
      <c r="D21" s="16" cm="1">
        <f t="array" ref="D21">IFERROR(IF(ISNUMBER(INDEX('⚙ Setup'!$B:$B,ROW()-2)),INDEX('⚙ Setup'!$B:$B,ROW()-2),0),0)</f>
        <v>0</v>
      </c>
      <c r="E21" s="43">
        <f t="shared" si="0"/>
        <v>-250</v>
      </c>
      <c r="F21" s="3"/>
      <c r="G21" s="3"/>
      <c r="H21" s="3"/>
      <c r="I21" s="3"/>
    </row>
    <row r="22" spans="1:9" ht="15" customHeight="1" x14ac:dyDescent="0.35">
      <c r="A22" s="37" t="s">
        <v>19</v>
      </c>
      <c r="B22" s="38"/>
      <c r="C22" s="22">
        <v>50</v>
      </c>
      <c r="D22" s="22" cm="1">
        <f t="array" ref="D22">IFERROR(IF(ISNUMBER(INDEX('⚙ Setup'!$B:$B,ROW()-2)),INDEX('⚙ Setup'!$B:$B,ROW()-2),0),0)</f>
        <v>0</v>
      </c>
      <c r="E22" s="44">
        <f t="shared" si="0"/>
        <v>-50</v>
      </c>
      <c r="F22" s="3"/>
      <c r="G22" s="3"/>
      <c r="H22" s="3"/>
      <c r="I22" s="3"/>
    </row>
    <row r="23" spans="1:9" ht="15" customHeight="1" x14ac:dyDescent="0.35">
      <c r="A23" s="34" t="s">
        <v>20</v>
      </c>
      <c r="B23" s="35"/>
      <c r="C23" s="16">
        <v>250</v>
      </c>
      <c r="D23" s="16" cm="1">
        <f t="array" ref="D23">IFERROR(IF(ISNUMBER(INDEX('⚙ Setup'!$B:$B,ROW()-2)),INDEX('⚙ Setup'!$B:$B,ROW()-2),0),0)</f>
        <v>0</v>
      </c>
      <c r="E23" s="43">
        <f t="shared" si="0"/>
        <v>-250</v>
      </c>
      <c r="F23" s="3"/>
      <c r="G23" s="3"/>
      <c r="H23" s="3"/>
      <c r="I23" s="3"/>
    </row>
    <row r="24" spans="1:9" ht="15" customHeight="1" x14ac:dyDescent="0.35">
      <c r="A24" s="37" t="s">
        <v>21</v>
      </c>
      <c r="B24" s="38"/>
      <c r="C24" s="22">
        <v>400</v>
      </c>
      <c r="D24" s="22" cm="1">
        <f t="array" ref="D24">IFERROR(IF(ISNUMBER(INDEX('⚙ Setup'!$B:$B,ROW()-2)),INDEX('⚙ Setup'!$B:$B,ROW()-2),0),0)</f>
        <v>0</v>
      </c>
      <c r="E24" s="44">
        <f t="shared" si="0"/>
        <v>-400</v>
      </c>
      <c r="F24" s="3"/>
      <c r="G24" s="3"/>
      <c r="H24" s="3"/>
      <c r="I24" s="3"/>
    </row>
    <row r="25" spans="1:9" ht="15" customHeight="1" x14ac:dyDescent="0.35">
      <c r="A25" s="34" t="s">
        <v>22</v>
      </c>
      <c r="B25" s="35"/>
      <c r="C25" s="16">
        <v>80</v>
      </c>
      <c r="D25" s="16" cm="1">
        <f t="array" ref="D25">IFERROR(IF(ISNUMBER(INDEX('⚙ Setup'!$B:$B,ROW()-2)),INDEX('⚙ Setup'!$B:$B,ROW()-2),0),0)</f>
        <v>0</v>
      </c>
      <c r="E25" s="43">
        <f t="shared" si="0"/>
        <v>-80</v>
      </c>
      <c r="F25" s="3"/>
      <c r="G25" s="3"/>
      <c r="H25" s="3"/>
      <c r="I25" s="3"/>
    </row>
    <row r="26" spans="1:9" ht="15" customHeight="1" x14ac:dyDescent="0.35">
      <c r="A26" s="37" t="s">
        <v>23</v>
      </c>
      <c r="B26" s="38"/>
      <c r="C26" s="22">
        <v>0</v>
      </c>
      <c r="D26" s="22" cm="1">
        <f t="array" ref="D26">IFERROR(IF(ISNUMBER(INDEX('⚙ Setup'!$B:$B,ROW()-2)),INDEX('⚙ Setup'!$B:$B,ROW()-2),0),0)</f>
        <v>0</v>
      </c>
      <c r="E26" s="44">
        <f t="shared" si="0"/>
        <v>0</v>
      </c>
      <c r="F26" s="3"/>
      <c r="G26" s="3"/>
      <c r="H26" s="3"/>
      <c r="I26" s="3"/>
    </row>
    <row r="27" spans="1:9" ht="15" customHeight="1" x14ac:dyDescent="0.35">
      <c r="A27" s="34" t="s">
        <v>24</v>
      </c>
      <c r="B27" s="35"/>
      <c r="C27" s="16">
        <v>75</v>
      </c>
      <c r="D27" s="16" cm="1">
        <f t="array" ref="D27">IFERROR(IF(ISNUMBER(INDEX('⚙ Setup'!$B:$B,ROW()-2)),INDEX('⚙ Setup'!$B:$B,ROW()-2),0),0)</f>
        <v>0</v>
      </c>
      <c r="E27" s="43">
        <f t="shared" si="0"/>
        <v>-75</v>
      </c>
      <c r="F27" s="3"/>
      <c r="G27" s="3"/>
      <c r="H27" s="3"/>
      <c r="I27" s="3"/>
    </row>
    <row r="28" spans="1:9" ht="15" customHeight="1" x14ac:dyDescent="0.35">
      <c r="A28" s="37" t="s">
        <v>25</v>
      </c>
      <c r="B28" s="38"/>
      <c r="C28" s="22">
        <v>0</v>
      </c>
      <c r="D28" s="22" cm="1">
        <f t="array" ref="D28">IFERROR(IF(ISNUMBER(INDEX('⚙ Setup'!$B:$B,ROW()-2)),INDEX('⚙ Setup'!$B:$B,ROW()-2),0),0)</f>
        <v>0</v>
      </c>
      <c r="E28" s="44">
        <f t="shared" si="0"/>
        <v>0</v>
      </c>
      <c r="F28" s="3"/>
      <c r="G28" s="3"/>
      <c r="H28" s="3"/>
      <c r="I28" s="3"/>
    </row>
    <row r="29" spans="1:9" ht="15" customHeight="1" x14ac:dyDescent="0.35">
      <c r="A29" s="34" t="s">
        <v>26</v>
      </c>
      <c r="B29" s="35"/>
      <c r="C29" s="16">
        <v>500</v>
      </c>
      <c r="D29" s="16" cm="1">
        <f t="array" ref="D29">IFERROR(IF(ISNUMBER(INDEX('⚙ Setup'!$B:$B,ROW()-2)),INDEX('⚙ Setup'!$B:$B,ROW()-2),0),0)</f>
        <v>0</v>
      </c>
      <c r="E29" s="43">
        <f t="shared" si="0"/>
        <v>-500</v>
      </c>
      <c r="F29" s="3"/>
      <c r="G29" s="3"/>
      <c r="H29" s="3"/>
      <c r="I29" s="3"/>
    </row>
    <row r="30" spans="1:9" ht="15" customHeight="1" x14ac:dyDescent="0.35">
      <c r="A30" s="37" t="s">
        <v>27</v>
      </c>
      <c r="B30" s="38"/>
      <c r="C30" s="22">
        <v>200</v>
      </c>
      <c r="D30" s="22" cm="1">
        <f t="array" ref="D30">IFERROR(IF(ISNUMBER(INDEX('⚙ Setup'!$B:$B,ROW()-2)),INDEX('⚙ Setup'!$B:$B,ROW()-2),0),0)</f>
        <v>0</v>
      </c>
      <c r="E30" s="44">
        <f t="shared" si="0"/>
        <v>-200</v>
      </c>
      <c r="F30" s="3"/>
      <c r="G30" s="3"/>
      <c r="H30" s="3"/>
      <c r="I30" s="3"/>
    </row>
    <row r="31" spans="1:9" ht="15" customHeight="1" x14ac:dyDescent="0.35">
      <c r="A31" s="34" t="s">
        <v>28</v>
      </c>
      <c r="B31" s="35"/>
      <c r="C31" s="16">
        <v>150</v>
      </c>
      <c r="D31" s="16" cm="1">
        <f t="array" ref="D31">IFERROR(IF(ISNUMBER(INDEX('⚙ Setup'!$B:$B,ROW()-2)),INDEX('⚙ Setup'!$B:$B,ROW()-2),0),0)</f>
        <v>0</v>
      </c>
      <c r="E31" s="43">
        <f t="shared" si="0"/>
        <v>-150</v>
      </c>
      <c r="F31" s="3"/>
      <c r="G31" s="3"/>
      <c r="H31" s="3"/>
      <c r="I31" s="3"/>
    </row>
    <row r="32" spans="1:9" ht="15" customHeight="1" x14ac:dyDescent="0.35">
      <c r="A32" s="45" t="s">
        <v>31</v>
      </c>
      <c r="B32" s="3"/>
      <c r="C32" s="46">
        <f>SUM(C17:C31)</f>
        <v>4835</v>
      </c>
      <c r="D32" s="42">
        <f>SUM(D17:D31)</f>
        <v>0</v>
      </c>
      <c r="E32" s="3"/>
      <c r="F32" s="3"/>
      <c r="G32" s="3"/>
      <c r="H32" s="3"/>
      <c r="I32" s="3"/>
    </row>
    <row r="33" spans="1:9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35">
      <c r="A34" s="47" t="s">
        <v>73</v>
      </c>
      <c r="B34" s="3"/>
      <c r="C34" s="48">
        <f>C13-C32</f>
        <v>245</v>
      </c>
      <c r="D34" s="3"/>
      <c r="E34" s="3"/>
      <c r="F34" s="3"/>
      <c r="G34" s="3"/>
      <c r="H34" s="3"/>
      <c r="I34" s="3"/>
    </row>
    <row r="35" spans="1: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</row>
    <row r="36" spans="1:9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</row>
    <row r="38" spans="1: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</row>
    <row r="40" spans="1:9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</row>
    <row r="41" spans="1:9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</row>
    <row r="43" spans="1: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</row>
    <row r="45" spans="1: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</row>
    <row r="46" spans="1: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</row>
    <row r="47" spans="1: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</row>
    <row r="48" spans="1:9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</row>
    <row r="49" spans="1: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</row>
    <row r="52" spans="1:9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</row>
    <row r="53" spans="1:9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</row>
    <row r="54" spans="1:9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</row>
    <row r="55" spans="1:9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</row>
    <row r="56" spans="1:9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</row>
    <row r="57" spans="1:9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</row>
    <row r="58" spans="1:9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</row>
    <row r="59" spans="1:9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3B82F6"/>
  </sheetPr>
  <dimension ref="A1:O79"/>
  <sheetViews>
    <sheetView zoomScale="115" zoomScaleNormal="115" workbookViewId="0">
      <selection sqref="A1:G1"/>
    </sheetView>
  </sheetViews>
  <sheetFormatPr baseColWidth="10" defaultColWidth="8.6328125" defaultRowHeight="14.5" x14ac:dyDescent="0.35"/>
  <cols>
    <col min="1" max="1" width="26" customWidth="1"/>
    <col min="2" max="2" width="10" customWidth="1"/>
    <col min="3" max="3" width="14" customWidth="1"/>
    <col min="4" max="4" width="12" customWidth="1"/>
    <col min="5" max="5" width="14" customWidth="1"/>
    <col min="6" max="6" width="12" customWidth="1"/>
    <col min="7" max="7" width="16" customWidth="1"/>
  </cols>
  <sheetData>
    <row r="1" spans="1:15" ht="30" customHeight="1" x14ac:dyDescent="0.35">
      <c r="A1" s="170" t="s">
        <v>74</v>
      </c>
      <c r="B1" s="170"/>
      <c r="C1" s="170"/>
      <c r="D1" s="170"/>
      <c r="E1" s="170"/>
      <c r="F1" s="170"/>
      <c r="G1" s="170"/>
      <c r="H1" s="3"/>
      <c r="I1" s="3"/>
      <c r="J1" s="3"/>
      <c r="K1" s="3"/>
      <c r="L1" s="3"/>
      <c r="M1" s="3"/>
      <c r="N1" s="3"/>
      <c r="O1" s="3"/>
    </row>
    <row r="2" spans="1:15" ht="15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35">
      <c r="A3" s="49" t="s">
        <v>75</v>
      </c>
      <c r="B3" s="49" t="s">
        <v>76</v>
      </c>
      <c r="C3" s="49" t="s">
        <v>63</v>
      </c>
      <c r="D3" s="49" t="s">
        <v>77</v>
      </c>
      <c r="E3" s="49" t="s">
        <v>78</v>
      </c>
      <c r="F3" s="49" t="s">
        <v>42</v>
      </c>
      <c r="G3" s="49" t="s">
        <v>71</v>
      </c>
      <c r="H3" s="3"/>
      <c r="I3" s="3"/>
      <c r="J3" s="3"/>
      <c r="K3" s="3"/>
      <c r="L3" s="3"/>
      <c r="M3" s="3"/>
      <c r="N3" s="3"/>
      <c r="O3" s="3"/>
    </row>
    <row r="4" spans="1:15" ht="15" customHeight="1" x14ac:dyDescent="0.35">
      <c r="A4" s="8" t="s">
        <v>79</v>
      </c>
      <c r="B4" s="50">
        <v>1</v>
      </c>
      <c r="C4" s="51">
        <v>1500</v>
      </c>
      <c r="D4" s="52" t="s">
        <v>80</v>
      </c>
      <c r="E4" s="53" t="s">
        <v>81</v>
      </c>
      <c r="F4" s="53" t="s">
        <v>82</v>
      </c>
      <c r="G4" s="52" t="s">
        <v>13</v>
      </c>
      <c r="H4" s="3"/>
      <c r="I4" s="3"/>
      <c r="J4" s="3"/>
      <c r="K4" s="3"/>
      <c r="L4" s="3"/>
      <c r="M4" s="3"/>
      <c r="N4" s="3"/>
      <c r="O4" s="3"/>
    </row>
    <row r="5" spans="1:15" ht="15" customHeight="1" x14ac:dyDescent="0.35">
      <c r="A5" s="10" t="s">
        <v>83</v>
      </c>
      <c r="B5" s="54">
        <v>5</v>
      </c>
      <c r="C5" s="55">
        <v>120</v>
      </c>
      <c r="D5" s="56" t="s">
        <v>80</v>
      </c>
      <c r="E5" s="57" t="s">
        <v>84</v>
      </c>
      <c r="F5" s="54" t="s">
        <v>85</v>
      </c>
      <c r="G5" s="56" t="s">
        <v>17</v>
      </c>
      <c r="H5" s="3"/>
      <c r="I5" s="3"/>
      <c r="J5" s="3"/>
      <c r="K5" s="3"/>
      <c r="L5" s="3"/>
      <c r="M5" s="3"/>
      <c r="N5" s="3"/>
      <c r="O5" s="3"/>
    </row>
    <row r="6" spans="1:15" ht="15" customHeight="1" x14ac:dyDescent="0.35">
      <c r="A6" s="8" t="s">
        <v>86</v>
      </c>
      <c r="B6" s="50">
        <v>8</v>
      </c>
      <c r="C6" s="51">
        <v>80</v>
      </c>
      <c r="D6" s="52" t="s">
        <v>80</v>
      </c>
      <c r="E6" s="53" t="s">
        <v>81</v>
      </c>
      <c r="F6" s="53" t="s">
        <v>82</v>
      </c>
      <c r="G6" s="52" t="s">
        <v>17</v>
      </c>
      <c r="H6" s="3"/>
      <c r="I6" s="3"/>
      <c r="J6" s="3"/>
      <c r="K6" s="3"/>
      <c r="L6" s="3"/>
      <c r="M6" s="3"/>
      <c r="N6" s="3"/>
      <c r="O6" s="3"/>
    </row>
    <row r="7" spans="1:15" ht="15" customHeight="1" x14ac:dyDescent="0.35">
      <c r="A7" s="10" t="s">
        <v>87</v>
      </c>
      <c r="B7" s="54">
        <v>10</v>
      </c>
      <c r="C7" s="55">
        <v>350</v>
      </c>
      <c r="D7" s="56" t="s">
        <v>80</v>
      </c>
      <c r="E7" s="57" t="s">
        <v>81</v>
      </c>
      <c r="F7" s="57" t="s">
        <v>82</v>
      </c>
      <c r="G7" s="56" t="s">
        <v>15</v>
      </c>
      <c r="H7" s="3"/>
      <c r="I7" s="3"/>
      <c r="J7" s="3"/>
      <c r="K7" s="3"/>
      <c r="L7" s="3"/>
      <c r="M7" s="3"/>
      <c r="N7" s="3"/>
      <c r="O7" s="3"/>
    </row>
    <row r="8" spans="1:15" ht="15" customHeight="1" x14ac:dyDescent="0.35">
      <c r="A8" s="8" t="s">
        <v>88</v>
      </c>
      <c r="B8" s="50">
        <v>15</v>
      </c>
      <c r="C8" s="51">
        <v>180</v>
      </c>
      <c r="D8" s="52" t="s">
        <v>80</v>
      </c>
      <c r="E8" s="53" t="s">
        <v>81</v>
      </c>
      <c r="F8" s="53" t="s">
        <v>82</v>
      </c>
      <c r="G8" s="52" t="s">
        <v>18</v>
      </c>
      <c r="H8" s="3"/>
      <c r="I8" s="3"/>
      <c r="J8" s="3"/>
      <c r="K8" s="3"/>
      <c r="L8" s="3"/>
      <c r="M8" s="3"/>
      <c r="N8" s="3"/>
      <c r="O8" s="3"/>
    </row>
    <row r="9" spans="1:15" ht="15" customHeight="1" x14ac:dyDescent="0.35">
      <c r="A9" s="10" t="s">
        <v>89</v>
      </c>
      <c r="B9" s="54">
        <v>1</v>
      </c>
      <c r="C9" s="55">
        <v>220</v>
      </c>
      <c r="D9" s="56" t="s">
        <v>80</v>
      </c>
      <c r="E9" s="57" t="s">
        <v>81</v>
      </c>
      <c r="F9" s="57" t="s">
        <v>82</v>
      </c>
      <c r="G9" s="56" t="s">
        <v>18</v>
      </c>
      <c r="H9" s="3"/>
      <c r="I9" s="3"/>
      <c r="J9" s="3"/>
      <c r="K9" s="3"/>
      <c r="L9" s="3"/>
      <c r="M9" s="3"/>
      <c r="N9" s="3"/>
      <c r="O9" s="3"/>
    </row>
    <row r="10" spans="1:15" ht="15" customHeight="1" x14ac:dyDescent="0.35">
      <c r="A10" s="8" t="s">
        <v>90</v>
      </c>
      <c r="B10" s="50">
        <v>12</v>
      </c>
      <c r="C10" s="51">
        <v>17</v>
      </c>
      <c r="D10" s="52" t="s">
        <v>80</v>
      </c>
      <c r="E10" s="53" t="s">
        <v>81</v>
      </c>
      <c r="F10" s="53" t="s">
        <v>82</v>
      </c>
      <c r="G10" s="52" t="s">
        <v>24</v>
      </c>
      <c r="H10" s="3"/>
      <c r="I10" s="3"/>
      <c r="J10" s="3"/>
      <c r="K10" s="3"/>
      <c r="L10" s="3"/>
      <c r="M10" s="3"/>
      <c r="N10" s="3"/>
      <c r="O10" s="3"/>
    </row>
    <row r="11" spans="1:15" ht="15" customHeight="1" x14ac:dyDescent="0.35">
      <c r="A11" s="10" t="s">
        <v>91</v>
      </c>
      <c r="B11" s="54">
        <v>18</v>
      </c>
      <c r="C11" s="55">
        <v>11</v>
      </c>
      <c r="D11" s="56" t="s">
        <v>80</v>
      </c>
      <c r="E11" s="57" t="s">
        <v>81</v>
      </c>
      <c r="F11" s="57" t="s">
        <v>82</v>
      </c>
      <c r="G11" s="56" t="s">
        <v>24</v>
      </c>
      <c r="H11" s="3"/>
      <c r="I11" s="3"/>
      <c r="J11" s="3"/>
      <c r="K11" s="3"/>
      <c r="L11" s="3"/>
      <c r="M11" s="3"/>
      <c r="N11" s="3"/>
      <c r="O11" s="3"/>
    </row>
    <row r="12" spans="1:15" ht="15" customHeight="1" x14ac:dyDescent="0.35">
      <c r="A12" s="8" t="s">
        <v>92</v>
      </c>
      <c r="B12" s="50">
        <v>1</v>
      </c>
      <c r="C12" s="51">
        <v>40</v>
      </c>
      <c r="D12" s="52" t="s">
        <v>80</v>
      </c>
      <c r="E12" s="53" t="s">
        <v>84</v>
      </c>
      <c r="F12" s="50" t="s">
        <v>85</v>
      </c>
      <c r="G12" s="52" t="s">
        <v>22</v>
      </c>
      <c r="H12" s="3"/>
      <c r="I12" s="3"/>
      <c r="J12" s="3"/>
      <c r="K12" s="3"/>
      <c r="L12" s="3"/>
      <c r="M12" s="3"/>
      <c r="N12" s="3"/>
      <c r="O12" s="3"/>
    </row>
    <row r="13" spans="1:15" ht="15" customHeight="1" x14ac:dyDescent="0.35">
      <c r="A13" s="10" t="s">
        <v>93</v>
      </c>
      <c r="B13" s="54">
        <v>20</v>
      </c>
      <c r="C13" s="55">
        <v>250</v>
      </c>
      <c r="D13" s="56" t="s">
        <v>80</v>
      </c>
      <c r="E13" s="57" t="s">
        <v>84</v>
      </c>
      <c r="F13" s="54" t="s">
        <v>85</v>
      </c>
      <c r="G13" s="56" t="s">
        <v>23</v>
      </c>
      <c r="H13" s="3"/>
      <c r="I13" s="3"/>
      <c r="J13" s="3"/>
      <c r="K13" s="3"/>
      <c r="L13" s="3"/>
      <c r="M13" s="3"/>
      <c r="N13" s="3"/>
      <c r="O13" s="3"/>
    </row>
    <row r="14" spans="1:15" ht="15" customHeight="1" x14ac:dyDescent="0.35">
      <c r="A14" s="8" t="s">
        <v>94</v>
      </c>
      <c r="B14" s="50">
        <v>25</v>
      </c>
      <c r="C14" s="51">
        <v>150</v>
      </c>
      <c r="D14" s="52" t="s">
        <v>80</v>
      </c>
      <c r="E14" s="53" t="s">
        <v>84</v>
      </c>
      <c r="F14" s="58" t="s">
        <v>95</v>
      </c>
      <c r="G14" s="52" t="s">
        <v>96</v>
      </c>
      <c r="H14" s="3"/>
      <c r="I14" s="3"/>
      <c r="J14" s="3"/>
      <c r="K14" s="3"/>
      <c r="L14" s="3"/>
      <c r="M14" s="3"/>
      <c r="N14" s="3"/>
      <c r="O14" s="3"/>
    </row>
    <row r="15" spans="1:15" ht="15" customHeight="1" x14ac:dyDescent="0.35">
      <c r="A15" s="10" t="s">
        <v>97</v>
      </c>
      <c r="B15" s="54">
        <v>15</v>
      </c>
      <c r="C15" s="55">
        <v>85</v>
      </c>
      <c r="D15" s="56" t="s">
        <v>80</v>
      </c>
      <c r="E15" s="57" t="s">
        <v>81</v>
      </c>
      <c r="F15" s="57" t="s">
        <v>82</v>
      </c>
      <c r="G15" s="56" t="s">
        <v>17</v>
      </c>
      <c r="H15" s="3"/>
      <c r="I15" s="3"/>
      <c r="J15" s="3"/>
      <c r="K15" s="3"/>
      <c r="L15" s="3"/>
      <c r="M15" s="3"/>
      <c r="N15" s="3"/>
      <c r="O15" s="3"/>
    </row>
    <row r="16" spans="1:15" ht="15" customHeight="1" x14ac:dyDescent="0.35">
      <c r="A16" s="13" t="s">
        <v>98</v>
      </c>
      <c r="B16" s="3"/>
      <c r="C16" s="59">
        <f>SUM(C4:C15)</f>
        <v>3003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1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ht="1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ht="1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ht="1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ht="1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ht="1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ht="1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ht="1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ht="1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ht="1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ht="1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ht="1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ht="1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ht="1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ht="1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ht="1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ht="1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ht="1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F4444"/>
  </sheetPr>
  <dimension ref="A1:K79"/>
  <sheetViews>
    <sheetView zoomScaleNormal="100" workbookViewId="0">
      <selection sqref="A1:K1"/>
    </sheetView>
  </sheetViews>
  <sheetFormatPr baseColWidth="10" defaultColWidth="8.6328125" defaultRowHeight="14.5" x14ac:dyDescent="0.35"/>
  <cols>
    <col min="1" max="1" width="22" customWidth="1"/>
    <col min="2" max="11" width="14" customWidth="1"/>
  </cols>
  <sheetData>
    <row r="1" spans="1:11" ht="30" customHeight="1" x14ac:dyDescent="0.35">
      <c r="A1" s="170" t="s">
        <v>99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5" customHeight="1" x14ac:dyDescent="0.35">
      <c r="A2" s="181" t="s">
        <v>100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</row>
    <row r="3" spans="1:11" ht="15" customHeight="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" customHeight="1" x14ac:dyDescent="0.35">
      <c r="A4" s="60" t="s">
        <v>101</v>
      </c>
      <c r="B4" s="60" t="s">
        <v>102</v>
      </c>
      <c r="C4" s="60" t="s">
        <v>103</v>
      </c>
      <c r="D4" s="60" t="s">
        <v>104</v>
      </c>
      <c r="E4" s="60" t="s">
        <v>105</v>
      </c>
      <c r="F4" s="60" t="s">
        <v>106</v>
      </c>
      <c r="G4" s="60" t="s">
        <v>107</v>
      </c>
      <c r="H4" s="60" t="s">
        <v>108</v>
      </c>
      <c r="I4" s="60" t="s">
        <v>109</v>
      </c>
      <c r="J4" s="60" t="s">
        <v>110</v>
      </c>
      <c r="K4" s="60" t="s">
        <v>111</v>
      </c>
    </row>
    <row r="5" spans="1:11" ht="15" customHeight="1" x14ac:dyDescent="0.35">
      <c r="A5" s="61" t="s">
        <v>112</v>
      </c>
      <c r="B5" s="15">
        <v>3200</v>
      </c>
      <c r="C5" s="62">
        <v>0.24990000000000001</v>
      </c>
      <c r="D5" s="63">
        <v>64</v>
      </c>
      <c r="E5" s="14">
        <v>0</v>
      </c>
      <c r="F5" s="64">
        <f>D5+E5</f>
        <v>64</v>
      </c>
      <c r="G5" s="65">
        <f>B5*C5/100/12</f>
        <v>0.66639999999999999</v>
      </c>
      <c r="H5" s="66">
        <f>IFERROR(NPER(C5/100/12,-F5,B5),0)</f>
        <v>50.267367095785097</v>
      </c>
      <c r="I5" s="67">
        <f ca="1">IFERROR(EDATE(TODAY(),INT(H5)),"N/A")</f>
        <v>47708</v>
      </c>
      <c r="J5" s="68" t="s">
        <v>113</v>
      </c>
      <c r="K5" s="69">
        <v>1</v>
      </c>
    </row>
    <row r="6" spans="1:11" ht="15" customHeight="1" x14ac:dyDescent="0.35">
      <c r="A6" s="70" t="s">
        <v>114</v>
      </c>
      <c r="B6" s="21">
        <v>1800</v>
      </c>
      <c r="C6" s="71">
        <v>0.19989999999999999</v>
      </c>
      <c r="D6" s="72">
        <v>36</v>
      </c>
      <c r="E6" s="20">
        <v>0</v>
      </c>
      <c r="F6" s="73">
        <f>D6+E6</f>
        <v>36</v>
      </c>
      <c r="G6" s="74">
        <f>B6*C6/100/12</f>
        <v>0.29985000000000001</v>
      </c>
      <c r="H6" s="75">
        <f>IFERROR(NPER(C6/100/12,-F6,B6),0)</f>
        <v>50.21357459628085</v>
      </c>
      <c r="I6" s="76">
        <f ca="1">IFERROR(EDATE(TODAY(),INT(H6)),"N/A")</f>
        <v>47708</v>
      </c>
      <c r="J6" s="77" t="s">
        <v>115</v>
      </c>
      <c r="K6" s="78">
        <v>2</v>
      </c>
    </row>
    <row r="7" spans="1:11" ht="15" customHeight="1" x14ac:dyDescent="0.35">
      <c r="A7" s="61" t="s">
        <v>93</v>
      </c>
      <c r="B7" s="15">
        <v>12000</v>
      </c>
      <c r="C7" s="62">
        <v>6.8000000000000005E-2</v>
      </c>
      <c r="D7" s="63">
        <v>138</v>
      </c>
      <c r="E7" s="14">
        <v>0</v>
      </c>
      <c r="F7" s="64">
        <f>D7+E7</f>
        <v>138</v>
      </c>
      <c r="G7" s="65">
        <f>B7*C7/100/12</f>
        <v>0.68000000000000016</v>
      </c>
      <c r="H7" s="66">
        <f>IFERROR(NPER(C7/100/12,-F7,B7),0)</f>
        <v>87.173938677071732</v>
      </c>
      <c r="I7" s="67">
        <f ca="1">IFERROR(EDATE(TODAY(),INT(H7)),"N/A")</f>
        <v>48835</v>
      </c>
      <c r="J7" s="68" t="s">
        <v>115</v>
      </c>
      <c r="K7" s="69">
        <v>3</v>
      </c>
    </row>
    <row r="8" spans="1:11" ht="15" customHeight="1" x14ac:dyDescent="0.35">
      <c r="A8" s="70" t="s">
        <v>116</v>
      </c>
      <c r="B8" s="21">
        <v>8500</v>
      </c>
      <c r="C8" s="71">
        <v>7.4999999999999997E-2</v>
      </c>
      <c r="D8" s="72">
        <v>189</v>
      </c>
      <c r="E8" s="20">
        <v>0</v>
      </c>
      <c r="F8" s="73">
        <f>D8+E8</f>
        <v>189</v>
      </c>
      <c r="G8" s="74">
        <f>B8*C8/100/12</f>
        <v>0.53125</v>
      </c>
      <c r="H8" s="75">
        <f>IFERROR(NPER(C8/100/12,-F8,B8),0)</f>
        <v>45.038277921603466</v>
      </c>
      <c r="I8" s="76">
        <f ca="1">IFERROR(EDATE(TODAY(),INT(H8)),"N/A")</f>
        <v>47555</v>
      </c>
      <c r="J8" s="77" t="s">
        <v>115</v>
      </c>
      <c r="K8" s="78">
        <v>4</v>
      </c>
    </row>
    <row r="9" spans="1:11" ht="15" customHeight="1" x14ac:dyDescent="0.35">
      <c r="A9" s="61" t="s">
        <v>117</v>
      </c>
      <c r="B9" s="15">
        <v>2500</v>
      </c>
      <c r="C9" s="62">
        <v>0.15</v>
      </c>
      <c r="D9" s="63">
        <v>75</v>
      </c>
      <c r="E9" s="14">
        <v>0</v>
      </c>
      <c r="F9" s="64">
        <f>D9+E9</f>
        <v>75</v>
      </c>
      <c r="G9" s="65">
        <f>B9*C9/100/12</f>
        <v>0.3125</v>
      </c>
      <c r="H9" s="66">
        <f>IFERROR(NPER(C9/100/12,-F9,B9),0)</f>
        <v>33.405058926077757</v>
      </c>
      <c r="I9" s="67">
        <f ca="1">IFERROR(EDATE(TODAY(),INT(H9)),"N/A")</f>
        <v>47190</v>
      </c>
      <c r="J9" s="68" t="s">
        <v>115</v>
      </c>
      <c r="K9" s="69">
        <v>5</v>
      </c>
    </row>
    <row r="10" spans="1:11" ht="15" customHeight="1" x14ac:dyDescent="0.35">
      <c r="A10" s="13" t="s">
        <v>55</v>
      </c>
      <c r="B10" s="46">
        <f>SUM(B5:B9)</f>
        <v>28000</v>
      </c>
      <c r="C10" s="3"/>
      <c r="D10" s="46">
        <f>SUM(D5:D9)</f>
        <v>502</v>
      </c>
      <c r="E10" s="3"/>
      <c r="F10" s="46">
        <f>SUM(F5:F9)</f>
        <v>502</v>
      </c>
      <c r="G10" s="46">
        <f>SUM(G5:G9)</f>
        <v>2.4900000000000002</v>
      </c>
      <c r="H10" s="3"/>
      <c r="I10" s="3"/>
      <c r="J10" s="3"/>
      <c r="K10" s="3"/>
    </row>
    <row r="11" spans="1:11" ht="15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" customHeight="1" x14ac:dyDescent="0.35">
      <c r="A12" s="182" t="s">
        <v>118</v>
      </c>
      <c r="B12" s="182"/>
      <c r="C12" s="182"/>
      <c r="D12" s="182"/>
      <c r="E12" s="182"/>
      <c r="F12" s="182"/>
      <c r="G12" s="182"/>
      <c r="H12" s="182"/>
      <c r="I12" s="182"/>
      <c r="J12" s="182"/>
      <c r="K12" s="182"/>
    </row>
    <row r="13" spans="1:11" ht="15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15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5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1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1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1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1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1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1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1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</sheetData>
  <mergeCells count="3">
    <mergeCell ref="A1:K1"/>
    <mergeCell ref="A2:K2"/>
    <mergeCell ref="A12:K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0B981"/>
  </sheetPr>
  <dimension ref="A1:I59"/>
  <sheetViews>
    <sheetView zoomScaleNormal="100" workbookViewId="0">
      <selection sqref="A1:H1"/>
    </sheetView>
  </sheetViews>
  <sheetFormatPr baseColWidth="10" defaultColWidth="8.6328125" defaultRowHeight="14.5" x14ac:dyDescent="0.35"/>
  <cols>
    <col min="1" max="1" width="24" customWidth="1"/>
    <col min="2" max="8" width="14" customWidth="1"/>
  </cols>
  <sheetData>
    <row r="1" spans="1:9" ht="30" customHeight="1" x14ac:dyDescent="0.35">
      <c r="A1" s="170" t="s">
        <v>119</v>
      </c>
      <c r="B1" s="170"/>
      <c r="C1" s="170"/>
      <c r="D1" s="170"/>
      <c r="E1" s="170"/>
      <c r="F1" s="170"/>
      <c r="G1" s="170"/>
      <c r="H1" s="170"/>
      <c r="I1" s="3"/>
    </row>
    <row r="2" spans="1:9" ht="15" customHeight="1" x14ac:dyDescent="0.35">
      <c r="A2" s="3"/>
      <c r="B2" s="3"/>
      <c r="C2" s="3"/>
      <c r="D2" s="3"/>
      <c r="E2" s="3"/>
      <c r="F2" s="3"/>
      <c r="G2" s="3"/>
      <c r="H2" s="3"/>
      <c r="I2" s="3"/>
    </row>
    <row r="3" spans="1:9" ht="15" customHeight="1" x14ac:dyDescent="0.35">
      <c r="A3" s="79" t="s">
        <v>120</v>
      </c>
      <c r="B3" s="79" t="s">
        <v>121</v>
      </c>
      <c r="C3" s="79" t="s">
        <v>122</v>
      </c>
      <c r="D3" s="79" t="s">
        <v>123</v>
      </c>
      <c r="E3" s="79" t="s">
        <v>124</v>
      </c>
      <c r="F3" s="79" t="s">
        <v>125</v>
      </c>
      <c r="G3" s="79" t="s">
        <v>126</v>
      </c>
      <c r="H3" s="79" t="s">
        <v>42</v>
      </c>
      <c r="I3" s="3"/>
    </row>
    <row r="4" spans="1:9" ht="15" customHeight="1" x14ac:dyDescent="0.35">
      <c r="A4" s="61" t="s">
        <v>127</v>
      </c>
      <c r="B4" s="63">
        <v>15000</v>
      </c>
      <c r="C4" s="14">
        <v>4200</v>
      </c>
      <c r="D4" s="65">
        <v>500</v>
      </c>
      <c r="E4" s="80">
        <f t="shared" ref="E4:E11" si="0">IFERROR((B4-C4)/D4,0)</f>
        <v>21.6</v>
      </c>
      <c r="F4" s="81">
        <f t="shared" ref="F4:F11" si="1">IFERROR(C4/B4,0)</f>
        <v>0.28000000000000003</v>
      </c>
      <c r="G4" s="67">
        <f t="shared" ref="G4:G11" ca="1" si="2">IFERROR(EDATE(TODAY(),INT(E4)),"Done")</f>
        <v>46825</v>
      </c>
      <c r="H4" s="82" t="str">
        <f t="shared" ref="H4:H11" si="3">IF(C4&gt;=B4,"✅ Complete",IF(C4/B4&gt;=0.75,"🔥 Almost!",IF(C4/B4&gt;=0.5,"📈 Halfway","🚀 Building")))</f>
        <v>🚀 Building</v>
      </c>
      <c r="I4" s="3"/>
    </row>
    <row r="5" spans="1:9" ht="15" customHeight="1" x14ac:dyDescent="0.35">
      <c r="A5" s="70" t="s">
        <v>128</v>
      </c>
      <c r="B5" s="72">
        <v>3000</v>
      </c>
      <c r="C5" s="20">
        <v>800</v>
      </c>
      <c r="D5" s="74">
        <v>200</v>
      </c>
      <c r="E5" s="83">
        <f t="shared" si="0"/>
        <v>11</v>
      </c>
      <c r="F5" s="84">
        <f t="shared" si="1"/>
        <v>0.26666666666666666</v>
      </c>
      <c r="G5" s="76">
        <f t="shared" ca="1" si="2"/>
        <v>46520</v>
      </c>
      <c r="H5" s="85" t="str">
        <f t="shared" si="3"/>
        <v>🚀 Building</v>
      </c>
      <c r="I5" s="3"/>
    </row>
    <row r="6" spans="1:9" ht="15" customHeight="1" x14ac:dyDescent="0.35">
      <c r="A6" s="61" t="s">
        <v>129</v>
      </c>
      <c r="B6" s="63">
        <v>8000</v>
      </c>
      <c r="C6" s="14">
        <v>1500</v>
      </c>
      <c r="D6" s="65">
        <v>300</v>
      </c>
      <c r="E6" s="80">
        <f t="shared" si="0"/>
        <v>21.666666666666668</v>
      </c>
      <c r="F6" s="81">
        <f t="shared" si="1"/>
        <v>0.1875</v>
      </c>
      <c r="G6" s="67">
        <f t="shared" ca="1" si="2"/>
        <v>46825</v>
      </c>
      <c r="H6" s="82" t="str">
        <f t="shared" si="3"/>
        <v>🚀 Building</v>
      </c>
      <c r="I6" s="3"/>
    </row>
    <row r="7" spans="1:9" ht="15" customHeight="1" x14ac:dyDescent="0.35">
      <c r="A7" s="70" t="s">
        <v>130</v>
      </c>
      <c r="B7" s="72">
        <v>40000</v>
      </c>
      <c r="C7" s="20">
        <v>5000</v>
      </c>
      <c r="D7" s="74">
        <v>800</v>
      </c>
      <c r="E7" s="83">
        <f t="shared" si="0"/>
        <v>43.75</v>
      </c>
      <c r="F7" s="84">
        <f t="shared" si="1"/>
        <v>0.125</v>
      </c>
      <c r="G7" s="76">
        <f t="shared" ca="1" si="2"/>
        <v>47496</v>
      </c>
      <c r="H7" s="85" t="str">
        <f t="shared" si="3"/>
        <v>🚀 Building</v>
      </c>
      <c r="I7" s="3"/>
    </row>
    <row r="8" spans="1:9" ht="15" customHeight="1" x14ac:dyDescent="0.35">
      <c r="A8" s="61" t="s">
        <v>131</v>
      </c>
      <c r="B8" s="63">
        <v>1500</v>
      </c>
      <c r="C8" s="14">
        <v>600</v>
      </c>
      <c r="D8" s="65">
        <v>150</v>
      </c>
      <c r="E8" s="80">
        <f t="shared" si="0"/>
        <v>6</v>
      </c>
      <c r="F8" s="81">
        <f t="shared" si="1"/>
        <v>0.4</v>
      </c>
      <c r="G8" s="67">
        <f t="shared" ca="1" si="2"/>
        <v>46369</v>
      </c>
      <c r="H8" s="82" t="str">
        <f t="shared" si="3"/>
        <v>🚀 Building</v>
      </c>
      <c r="I8" s="3"/>
    </row>
    <row r="9" spans="1:9" ht="15" customHeight="1" x14ac:dyDescent="0.35">
      <c r="A9" s="70" t="s">
        <v>132</v>
      </c>
      <c r="B9" s="72">
        <v>1200</v>
      </c>
      <c r="C9" s="20">
        <v>300</v>
      </c>
      <c r="D9" s="74">
        <v>100</v>
      </c>
      <c r="E9" s="83">
        <f t="shared" si="0"/>
        <v>9</v>
      </c>
      <c r="F9" s="84">
        <f t="shared" si="1"/>
        <v>0.25</v>
      </c>
      <c r="G9" s="76">
        <f t="shared" ca="1" si="2"/>
        <v>46459</v>
      </c>
      <c r="H9" s="85" t="str">
        <f t="shared" si="3"/>
        <v>🚀 Building</v>
      </c>
      <c r="I9" s="3"/>
    </row>
    <row r="10" spans="1:9" ht="15" customHeight="1" x14ac:dyDescent="0.35">
      <c r="A10" s="61" t="s">
        <v>133</v>
      </c>
      <c r="B10" s="63">
        <v>5000</v>
      </c>
      <c r="C10" s="14">
        <v>2000</v>
      </c>
      <c r="D10" s="65">
        <v>200</v>
      </c>
      <c r="E10" s="80">
        <f t="shared" si="0"/>
        <v>15</v>
      </c>
      <c r="F10" s="81">
        <f t="shared" si="1"/>
        <v>0.4</v>
      </c>
      <c r="G10" s="67">
        <f t="shared" ca="1" si="2"/>
        <v>46643</v>
      </c>
      <c r="H10" s="82" t="str">
        <f t="shared" si="3"/>
        <v>🚀 Building</v>
      </c>
      <c r="I10" s="3"/>
    </row>
    <row r="11" spans="1:9" ht="15" customHeight="1" x14ac:dyDescent="0.35">
      <c r="A11" s="70" t="s">
        <v>134</v>
      </c>
      <c r="B11" s="72">
        <v>10000</v>
      </c>
      <c r="C11" s="20">
        <v>3000</v>
      </c>
      <c r="D11" s="74">
        <v>500</v>
      </c>
      <c r="E11" s="83">
        <f t="shared" si="0"/>
        <v>14</v>
      </c>
      <c r="F11" s="84">
        <f t="shared" si="1"/>
        <v>0.3</v>
      </c>
      <c r="G11" s="76">
        <f t="shared" ca="1" si="2"/>
        <v>46612</v>
      </c>
      <c r="H11" s="85" t="str">
        <f t="shared" si="3"/>
        <v>🚀 Building</v>
      </c>
      <c r="I11" s="3"/>
    </row>
    <row r="12" spans="1:9" ht="15" customHeight="1" x14ac:dyDescent="0.35">
      <c r="A12" s="13" t="s">
        <v>55</v>
      </c>
      <c r="B12" s="41">
        <f>SUM(B4:B11)</f>
        <v>83700</v>
      </c>
      <c r="C12" s="41">
        <f>SUM(C4:C11)</f>
        <v>17400</v>
      </c>
      <c r="D12" s="41">
        <f>SUM(D4:D11)</f>
        <v>2750</v>
      </c>
      <c r="E12" s="3"/>
      <c r="F12" s="3"/>
      <c r="G12" s="3"/>
      <c r="H12" s="3"/>
      <c r="I12" s="3"/>
    </row>
    <row r="13" spans="1:9" ht="15" customHeight="1" x14ac:dyDescent="0.35">
      <c r="A13" s="3"/>
      <c r="B13" s="3"/>
      <c r="C13" s="3"/>
      <c r="D13" s="3"/>
      <c r="E13" s="3"/>
      <c r="F13" s="3"/>
      <c r="G13" s="3"/>
      <c r="H13" s="3"/>
      <c r="I13" s="3"/>
    </row>
    <row r="14" spans="1:9" ht="15" customHeight="1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9" ht="15" customHeight="1" x14ac:dyDescent="0.35">
      <c r="A15" s="3"/>
      <c r="B15" s="3"/>
      <c r="C15" s="3"/>
      <c r="D15" s="3"/>
      <c r="E15" s="3"/>
      <c r="F15" s="3"/>
      <c r="G15" s="3"/>
      <c r="H15" s="3"/>
      <c r="I15" s="3"/>
    </row>
    <row r="16" spans="1:9" ht="15" customHeight="1" x14ac:dyDescent="0.35">
      <c r="A16" s="3"/>
      <c r="B16" s="3"/>
      <c r="C16" s="3"/>
      <c r="D16" s="3"/>
      <c r="E16" s="3"/>
      <c r="F16" s="3"/>
      <c r="G16" s="3"/>
      <c r="H16" s="3"/>
      <c r="I16" s="3"/>
    </row>
    <row r="17" spans="1:9" ht="15" customHeight="1" x14ac:dyDescent="0.35">
      <c r="A17" s="3"/>
      <c r="B17" s="3"/>
      <c r="C17" s="3"/>
      <c r="D17" s="3"/>
      <c r="E17" s="3"/>
      <c r="F17" s="3"/>
      <c r="G17" s="3"/>
      <c r="H17" s="3"/>
      <c r="I17" s="3"/>
    </row>
    <row r="18" spans="1:9" ht="15" customHeight="1" x14ac:dyDescent="0.35">
      <c r="A18" s="3"/>
      <c r="B18" s="3"/>
      <c r="C18" s="3"/>
      <c r="D18" s="3"/>
      <c r="E18" s="3"/>
      <c r="F18" s="3"/>
      <c r="G18" s="3"/>
      <c r="H18" s="3"/>
      <c r="I18" s="3"/>
    </row>
    <row r="19" spans="1:9" ht="15" customHeight="1" x14ac:dyDescent="0.35">
      <c r="A19" s="3"/>
      <c r="B19" s="3"/>
      <c r="C19" s="3"/>
      <c r="D19" s="3"/>
      <c r="E19" s="3"/>
      <c r="F19" s="3"/>
      <c r="G19" s="3"/>
      <c r="H19" s="3"/>
      <c r="I19" s="3"/>
    </row>
    <row r="20" spans="1:9" ht="15" customHeight="1" x14ac:dyDescent="0.35">
      <c r="A20" s="3"/>
      <c r="B20" s="3"/>
      <c r="C20" s="3"/>
      <c r="D20" s="3"/>
      <c r="E20" s="3"/>
      <c r="F20" s="3"/>
      <c r="G20" s="3"/>
      <c r="H20" s="3"/>
      <c r="I20" s="3"/>
    </row>
    <row r="21" spans="1:9" ht="15" customHeight="1" x14ac:dyDescent="0.35">
      <c r="A21" s="3"/>
      <c r="B21" s="3"/>
      <c r="C21" s="3"/>
      <c r="D21" s="3"/>
      <c r="E21" s="3"/>
      <c r="F21" s="3"/>
      <c r="G21" s="3"/>
      <c r="H21" s="3"/>
      <c r="I21" s="3"/>
    </row>
    <row r="22" spans="1:9" ht="15" customHeight="1" x14ac:dyDescent="0.35">
      <c r="A22" s="3"/>
      <c r="B22" s="3"/>
      <c r="C22" s="3"/>
      <c r="D22" s="3"/>
      <c r="E22" s="3"/>
      <c r="F22" s="3"/>
      <c r="G22" s="3"/>
      <c r="H22" s="3"/>
      <c r="I22" s="3"/>
    </row>
    <row r="23" spans="1:9" ht="15" customHeight="1" x14ac:dyDescent="0.35">
      <c r="A23" s="3"/>
      <c r="B23" s="3"/>
      <c r="C23" s="3"/>
      <c r="D23" s="3"/>
      <c r="E23" s="3"/>
      <c r="F23" s="3"/>
      <c r="G23" s="3"/>
      <c r="H23" s="3"/>
      <c r="I23" s="3"/>
    </row>
    <row r="24" spans="1:9" ht="15" customHeight="1" x14ac:dyDescent="0.35">
      <c r="A24" s="3"/>
      <c r="B24" s="3"/>
      <c r="C24" s="3"/>
      <c r="D24" s="3"/>
      <c r="E24" s="3"/>
      <c r="F24" s="3"/>
      <c r="G24" s="3"/>
      <c r="H24" s="3"/>
      <c r="I24" s="3"/>
    </row>
    <row r="25" spans="1:9" ht="15" customHeight="1" x14ac:dyDescent="0.35">
      <c r="A25" s="3"/>
      <c r="B25" s="3"/>
      <c r="C25" s="3"/>
      <c r="D25" s="3"/>
      <c r="E25" s="3"/>
      <c r="F25" s="3"/>
      <c r="G25" s="3"/>
      <c r="H25" s="3"/>
      <c r="I25" s="3"/>
    </row>
    <row r="26" spans="1:9" ht="15" customHeight="1" x14ac:dyDescent="0.35">
      <c r="A26" s="3"/>
      <c r="B26" s="3"/>
      <c r="C26" s="3"/>
      <c r="D26" s="3"/>
      <c r="E26" s="3"/>
      <c r="F26" s="3"/>
      <c r="G26" s="3"/>
      <c r="H26" s="3"/>
      <c r="I26" s="3"/>
    </row>
    <row r="27" spans="1:9" ht="15" customHeight="1" x14ac:dyDescent="0.35">
      <c r="A27" s="3"/>
      <c r="B27" s="3"/>
      <c r="C27" s="3"/>
      <c r="D27" s="3"/>
      <c r="E27" s="3"/>
      <c r="F27" s="3"/>
      <c r="G27" s="3"/>
      <c r="H27" s="3"/>
      <c r="I27" s="3"/>
    </row>
    <row r="28" spans="1:9" ht="15" customHeight="1" x14ac:dyDescent="0.35">
      <c r="A28" s="3"/>
      <c r="B28" s="3"/>
      <c r="C28" s="3"/>
      <c r="D28" s="3"/>
      <c r="E28" s="3"/>
      <c r="F28" s="3"/>
      <c r="G28" s="3"/>
      <c r="H28" s="3"/>
      <c r="I28" s="3"/>
    </row>
    <row r="29" spans="1:9" ht="15" customHeight="1" x14ac:dyDescent="0.35">
      <c r="A29" s="3"/>
      <c r="B29" s="3"/>
      <c r="C29" s="3"/>
      <c r="D29" s="3"/>
      <c r="E29" s="3"/>
      <c r="F29" s="3"/>
      <c r="G29" s="3"/>
      <c r="H29" s="3"/>
      <c r="I29" s="3"/>
    </row>
    <row r="30" spans="1:9" ht="15" customHeight="1" x14ac:dyDescent="0.35">
      <c r="A30" s="3"/>
      <c r="B30" s="3"/>
      <c r="C30" s="3"/>
      <c r="D30" s="3"/>
      <c r="E30" s="3"/>
      <c r="F30" s="3"/>
      <c r="G30" s="3"/>
      <c r="H30" s="3"/>
      <c r="I30" s="3"/>
    </row>
    <row r="31" spans="1:9" ht="15" customHeight="1" x14ac:dyDescent="0.35">
      <c r="A31" s="3"/>
      <c r="B31" s="3"/>
      <c r="C31" s="3"/>
      <c r="D31" s="3"/>
      <c r="E31" s="3"/>
      <c r="F31" s="3"/>
      <c r="G31" s="3"/>
      <c r="H31" s="3"/>
      <c r="I31" s="3"/>
    </row>
    <row r="32" spans="1:9" ht="15" customHeight="1" x14ac:dyDescent="0.35">
      <c r="A32" s="3"/>
      <c r="B32" s="3"/>
      <c r="C32" s="3"/>
      <c r="D32" s="3"/>
      <c r="E32" s="3"/>
      <c r="F32" s="3"/>
      <c r="G32" s="3"/>
      <c r="H32" s="3"/>
      <c r="I32" s="3"/>
    </row>
    <row r="33" spans="1:9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</row>
    <row r="34" spans="1:9" ht="15" customHeight="1" x14ac:dyDescent="0.35">
      <c r="A34" s="3"/>
      <c r="B34" s="3"/>
      <c r="C34" s="3"/>
      <c r="D34" s="3"/>
      <c r="E34" s="3"/>
      <c r="F34" s="3"/>
      <c r="G34" s="3"/>
      <c r="H34" s="3"/>
      <c r="I34" s="3"/>
    </row>
    <row r="35" spans="1: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</row>
    <row r="36" spans="1:9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</row>
    <row r="38" spans="1: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</row>
    <row r="40" spans="1:9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</row>
    <row r="41" spans="1:9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</row>
    <row r="43" spans="1: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</row>
    <row r="45" spans="1: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</row>
    <row r="46" spans="1: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</row>
    <row r="47" spans="1: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</row>
    <row r="48" spans="1:9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</row>
    <row r="49" spans="1: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</row>
    <row r="52" spans="1:9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</row>
    <row r="53" spans="1:9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</row>
    <row r="54" spans="1:9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</row>
    <row r="55" spans="1:9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</row>
    <row r="56" spans="1:9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</row>
    <row r="57" spans="1:9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</row>
    <row r="58" spans="1:9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</row>
    <row r="59" spans="1:9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3B82F6"/>
  </sheetPr>
  <dimension ref="A1:I79"/>
  <sheetViews>
    <sheetView zoomScaleNormal="100" workbookViewId="0">
      <selection sqref="A1:H1"/>
    </sheetView>
  </sheetViews>
  <sheetFormatPr baseColWidth="10" defaultColWidth="8.6328125" defaultRowHeight="14.5" x14ac:dyDescent="0.35"/>
  <cols>
    <col min="1" max="1" width="17.54296875" bestFit="1" customWidth="1"/>
    <col min="2" max="2" width="14.81640625" bestFit="1" customWidth="1"/>
    <col min="3" max="3" width="14.26953125" bestFit="1" customWidth="1"/>
    <col min="4" max="4" width="13.453125" bestFit="1" customWidth="1"/>
    <col min="5" max="8" width="14" customWidth="1"/>
  </cols>
  <sheetData>
    <row r="1" spans="1:9" ht="30" customHeight="1" x14ac:dyDescent="0.35">
      <c r="A1" s="170" t="s">
        <v>135</v>
      </c>
      <c r="B1" s="170"/>
      <c r="C1" s="170"/>
      <c r="D1" s="170"/>
      <c r="E1" s="170"/>
      <c r="F1" s="170"/>
      <c r="G1" s="170"/>
      <c r="H1" s="170"/>
      <c r="I1" s="3"/>
    </row>
    <row r="2" spans="1:9" ht="15" customHeight="1" x14ac:dyDescent="0.35">
      <c r="A2" s="3"/>
      <c r="B2" s="3"/>
      <c r="C2" s="3"/>
      <c r="D2" s="3"/>
      <c r="E2" s="3"/>
      <c r="F2" s="3"/>
      <c r="G2" s="3"/>
      <c r="H2" s="3"/>
      <c r="I2" s="3"/>
    </row>
    <row r="3" spans="1:9" ht="15" customHeight="1" x14ac:dyDescent="0.35">
      <c r="A3" s="3"/>
      <c r="B3" s="2" t="s">
        <v>136</v>
      </c>
      <c r="C3" s="2" t="s">
        <v>137</v>
      </c>
      <c r="D3" s="2" t="s">
        <v>35</v>
      </c>
      <c r="E3" s="3"/>
      <c r="F3" s="3"/>
      <c r="G3" s="3"/>
      <c r="H3" s="3"/>
      <c r="I3" s="3"/>
    </row>
    <row r="4" spans="1:9" ht="19.5" customHeight="1" x14ac:dyDescent="0.35">
      <c r="A4" s="3"/>
      <c r="B4" s="86">
        <f>B15</f>
        <v>427000</v>
      </c>
      <c r="C4" s="87">
        <f>B25</f>
        <v>313000</v>
      </c>
      <c r="D4" s="88">
        <f>B27</f>
        <v>114000</v>
      </c>
      <c r="E4" s="3"/>
      <c r="F4" s="3"/>
      <c r="G4" s="3"/>
      <c r="H4" s="3"/>
      <c r="I4" s="3"/>
    </row>
    <row r="5" spans="1:9" ht="15" customHeight="1" x14ac:dyDescent="0.35">
      <c r="A5" s="3"/>
      <c r="B5" s="3"/>
      <c r="C5" s="3"/>
      <c r="D5" s="3"/>
      <c r="E5" s="3"/>
      <c r="F5" s="3"/>
      <c r="G5" s="3"/>
      <c r="H5" s="3"/>
      <c r="I5" s="3"/>
    </row>
    <row r="6" spans="1:9" ht="24" customHeight="1" x14ac:dyDescent="0.35">
      <c r="A6" s="5" t="s">
        <v>138</v>
      </c>
      <c r="B6" s="3"/>
      <c r="C6" s="3"/>
      <c r="D6" s="3"/>
      <c r="E6" s="3"/>
      <c r="F6" s="3"/>
      <c r="G6" s="3"/>
      <c r="H6" s="3"/>
      <c r="I6" s="3"/>
    </row>
    <row r="7" spans="1:9" ht="15" customHeight="1" x14ac:dyDescent="0.35">
      <c r="A7" s="79" t="s">
        <v>139</v>
      </c>
      <c r="B7" s="79" t="s">
        <v>140</v>
      </c>
      <c r="C7" s="79" t="s">
        <v>141</v>
      </c>
      <c r="D7" s="79" t="s">
        <v>62</v>
      </c>
      <c r="E7" s="3"/>
      <c r="F7" s="3"/>
      <c r="G7" s="3"/>
      <c r="H7" s="3"/>
      <c r="I7" s="3"/>
    </row>
    <row r="8" spans="1:9" ht="15" customHeight="1" x14ac:dyDescent="0.35">
      <c r="A8" s="8" t="s">
        <v>142</v>
      </c>
      <c r="B8" s="14">
        <v>5000</v>
      </c>
      <c r="C8" s="6" t="s">
        <v>143</v>
      </c>
      <c r="D8" s="89"/>
      <c r="E8" s="3"/>
      <c r="F8" s="3"/>
      <c r="G8" s="3"/>
      <c r="H8" s="3"/>
      <c r="I8" s="3"/>
    </row>
    <row r="9" spans="1:9" ht="15" customHeight="1" x14ac:dyDescent="0.35">
      <c r="A9" s="10" t="s">
        <v>144</v>
      </c>
      <c r="B9" s="20">
        <v>12000</v>
      </c>
      <c r="C9" s="90" t="s">
        <v>143</v>
      </c>
      <c r="D9" s="91"/>
      <c r="E9" s="3"/>
      <c r="F9" s="3"/>
      <c r="G9" s="3"/>
      <c r="H9" s="3"/>
      <c r="I9" s="3"/>
    </row>
    <row r="10" spans="1:9" ht="15" customHeight="1" x14ac:dyDescent="0.35">
      <c r="A10" s="8" t="s">
        <v>145</v>
      </c>
      <c r="B10" s="14">
        <v>25000</v>
      </c>
      <c r="C10" s="6" t="s">
        <v>146</v>
      </c>
      <c r="D10" s="89"/>
      <c r="E10" s="3"/>
      <c r="F10" s="3"/>
      <c r="G10" s="3"/>
      <c r="H10" s="3"/>
      <c r="I10" s="3"/>
    </row>
    <row r="11" spans="1:9" ht="15" customHeight="1" x14ac:dyDescent="0.35">
      <c r="A11" s="10" t="s">
        <v>147</v>
      </c>
      <c r="B11" s="20">
        <v>45000</v>
      </c>
      <c r="C11" s="90" t="s">
        <v>148</v>
      </c>
      <c r="D11" s="91"/>
      <c r="E11" s="3"/>
      <c r="F11" s="3"/>
      <c r="G11" s="3"/>
      <c r="H11" s="3"/>
      <c r="I11" s="3"/>
    </row>
    <row r="12" spans="1:9" ht="15" customHeight="1" x14ac:dyDescent="0.35">
      <c r="A12" s="8" t="s">
        <v>149</v>
      </c>
      <c r="B12" s="14">
        <v>320000</v>
      </c>
      <c r="C12" s="6" t="s">
        <v>150</v>
      </c>
      <c r="D12" s="89"/>
      <c r="E12" s="3"/>
      <c r="F12" s="3"/>
      <c r="G12" s="3"/>
      <c r="H12" s="3"/>
      <c r="I12" s="3"/>
    </row>
    <row r="13" spans="1:9" ht="15" customHeight="1" x14ac:dyDescent="0.35">
      <c r="A13" s="10" t="s">
        <v>151</v>
      </c>
      <c r="B13" s="20">
        <v>18000</v>
      </c>
      <c r="C13" s="90" t="s">
        <v>152</v>
      </c>
      <c r="D13" s="91"/>
      <c r="E13" s="3"/>
      <c r="F13" s="3"/>
      <c r="G13" s="3"/>
      <c r="H13" s="3"/>
      <c r="I13" s="3"/>
    </row>
    <row r="14" spans="1:9" ht="15" customHeight="1" x14ac:dyDescent="0.35">
      <c r="A14" s="8" t="s">
        <v>153</v>
      </c>
      <c r="B14" s="14">
        <v>2000</v>
      </c>
      <c r="C14" s="6" t="s">
        <v>154</v>
      </c>
      <c r="D14" s="89"/>
      <c r="E14" s="3"/>
      <c r="F14" s="3"/>
      <c r="G14" s="3"/>
      <c r="H14" s="3"/>
      <c r="I14" s="3"/>
    </row>
    <row r="15" spans="1:9" ht="15" customHeight="1" x14ac:dyDescent="0.35">
      <c r="A15" s="40" t="s">
        <v>136</v>
      </c>
      <c r="B15" s="92">
        <f>SUM(B8:B14)</f>
        <v>427000</v>
      </c>
      <c r="C15" s="3"/>
      <c r="D15" s="3"/>
      <c r="E15" s="3"/>
      <c r="F15" s="3"/>
      <c r="G15" s="3"/>
      <c r="H15" s="3"/>
      <c r="I15" s="3"/>
    </row>
    <row r="16" spans="1:9" ht="15" customHeight="1" x14ac:dyDescent="0.35">
      <c r="A16" s="3"/>
      <c r="B16" s="3"/>
      <c r="C16" s="3"/>
      <c r="D16" s="3"/>
      <c r="E16" s="3"/>
      <c r="F16" s="3"/>
      <c r="G16" s="3"/>
      <c r="H16" s="3"/>
      <c r="I16" s="3"/>
    </row>
    <row r="17" spans="1:9" ht="24" customHeight="1" x14ac:dyDescent="0.35">
      <c r="A17" s="5" t="s">
        <v>155</v>
      </c>
      <c r="B17" s="3"/>
      <c r="C17" s="3"/>
      <c r="D17" s="3"/>
      <c r="E17" s="3"/>
      <c r="F17" s="3"/>
      <c r="G17" s="3"/>
      <c r="H17" s="3"/>
      <c r="I17" s="3"/>
    </row>
    <row r="18" spans="1:9" ht="15" customHeight="1" x14ac:dyDescent="0.35">
      <c r="A18" s="60" t="s">
        <v>156</v>
      </c>
      <c r="B18" s="60" t="s">
        <v>102</v>
      </c>
      <c r="C18" s="60" t="s">
        <v>103</v>
      </c>
      <c r="D18" s="60" t="s">
        <v>62</v>
      </c>
      <c r="E18" s="3"/>
      <c r="F18" s="3"/>
      <c r="G18" s="3"/>
      <c r="H18" s="3"/>
      <c r="I18" s="3"/>
    </row>
    <row r="19" spans="1:9" ht="15" customHeight="1" x14ac:dyDescent="0.35">
      <c r="A19" s="8" t="s">
        <v>157</v>
      </c>
      <c r="B19" s="15">
        <v>285000</v>
      </c>
      <c r="C19" s="62">
        <v>7.0000000000000007E-2</v>
      </c>
      <c r="D19" s="89"/>
      <c r="E19" s="3"/>
      <c r="F19" s="3"/>
      <c r="G19" s="3"/>
      <c r="H19" s="3"/>
      <c r="I19" s="3"/>
    </row>
    <row r="20" spans="1:9" ht="15" customHeight="1" x14ac:dyDescent="0.35">
      <c r="A20" s="10" t="s">
        <v>116</v>
      </c>
      <c r="B20" s="21">
        <v>8500</v>
      </c>
      <c r="C20" s="71">
        <v>7.4999999999999997E-2</v>
      </c>
      <c r="D20" s="91"/>
      <c r="E20" s="3"/>
      <c r="F20" s="3"/>
      <c r="G20" s="3"/>
      <c r="H20" s="3"/>
      <c r="I20" s="3"/>
    </row>
    <row r="21" spans="1:9" ht="15" customHeight="1" x14ac:dyDescent="0.35">
      <c r="A21" s="8" t="s">
        <v>93</v>
      </c>
      <c r="B21" s="15">
        <v>12000</v>
      </c>
      <c r="C21" s="62">
        <v>6.8000000000000005E-2</v>
      </c>
      <c r="D21" s="89"/>
      <c r="E21" s="3"/>
      <c r="F21" s="3"/>
      <c r="G21" s="3"/>
      <c r="H21" s="3"/>
      <c r="I21" s="3"/>
    </row>
    <row r="22" spans="1:9" ht="15" customHeight="1" x14ac:dyDescent="0.35">
      <c r="A22" s="10" t="s">
        <v>112</v>
      </c>
      <c r="B22" s="21">
        <v>3200</v>
      </c>
      <c r="C22" s="71">
        <v>0.24990000000000001</v>
      </c>
      <c r="D22" s="91"/>
      <c r="E22" s="3"/>
      <c r="F22" s="3"/>
      <c r="G22" s="3"/>
      <c r="H22" s="3"/>
      <c r="I22" s="3"/>
    </row>
    <row r="23" spans="1:9" ht="15" customHeight="1" x14ac:dyDescent="0.35">
      <c r="A23" s="8" t="s">
        <v>114</v>
      </c>
      <c r="B23" s="15">
        <v>1800</v>
      </c>
      <c r="C23" s="62">
        <v>0.19989999999999999</v>
      </c>
      <c r="D23" s="89"/>
      <c r="E23" s="3"/>
      <c r="F23" s="3"/>
      <c r="G23" s="3"/>
      <c r="H23" s="3"/>
      <c r="I23" s="3"/>
    </row>
    <row r="24" spans="1:9" ht="15" customHeight="1" x14ac:dyDescent="0.35">
      <c r="A24" s="10" t="s">
        <v>117</v>
      </c>
      <c r="B24" s="21">
        <v>2500</v>
      </c>
      <c r="C24" s="71">
        <v>0.15</v>
      </c>
      <c r="D24" s="91"/>
      <c r="E24" s="3"/>
      <c r="F24" s="3"/>
      <c r="G24" s="3"/>
      <c r="H24" s="3"/>
      <c r="I24" s="3"/>
    </row>
    <row r="25" spans="1:9" ht="15" customHeight="1" x14ac:dyDescent="0.35">
      <c r="A25" s="45" t="s">
        <v>137</v>
      </c>
      <c r="B25" s="93">
        <f>SUM(B19:B24)</f>
        <v>313000</v>
      </c>
      <c r="C25" s="3"/>
      <c r="D25" s="3"/>
      <c r="E25" s="3"/>
      <c r="F25" s="3"/>
      <c r="G25" s="3"/>
      <c r="H25" s="3"/>
      <c r="I25" s="3"/>
    </row>
    <row r="26" spans="1:9" ht="15" customHeight="1" x14ac:dyDescent="0.35">
      <c r="A26" s="3"/>
      <c r="B26" s="3"/>
      <c r="C26" s="3"/>
      <c r="D26" s="3"/>
      <c r="E26" s="3"/>
      <c r="F26" s="3"/>
      <c r="G26" s="3"/>
      <c r="H26" s="3"/>
      <c r="I26" s="3"/>
    </row>
    <row r="27" spans="1:9" ht="21.75" customHeight="1" x14ac:dyDescent="0.35">
      <c r="A27" s="94" t="s">
        <v>35</v>
      </c>
      <c r="B27" s="95">
        <f>B15-B25</f>
        <v>114000</v>
      </c>
      <c r="C27" s="3"/>
      <c r="D27" s="3"/>
      <c r="E27" s="3"/>
      <c r="F27" s="3"/>
      <c r="G27" s="3"/>
      <c r="H27" s="3"/>
      <c r="I27" s="3"/>
    </row>
    <row r="28" spans="1:9" ht="15" customHeight="1" x14ac:dyDescent="0.35">
      <c r="A28" s="3"/>
      <c r="B28" s="3"/>
      <c r="C28" s="3"/>
      <c r="D28" s="3"/>
      <c r="E28" s="3"/>
      <c r="F28" s="3"/>
      <c r="G28" s="3"/>
      <c r="H28" s="3"/>
      <c r="I28" s="3"/>
    </row>
    <row r="29" spans="1:9" ht="15" customHeight="1" x14ac:dyDescent="0.35">
      <c r="A29" s="3"/>
      <c r="B29" s="3"/>
      <c r="C29" s="3"/>
      <c r="D29" s="3"/>
      <c r="E29" s="3"/>
      <c r="F29" s="3"/>
      <c r="G29" s="3"/>
      <c r="H29" s="3"/>
      <c r="I29" s="3"/>
    </row>
    <row r="30" spans="1:9" ht="15" customHeight="1" x14ac:dyDescent="0.35">
      <c r="A30" s="3"/>
      <c r="B30" s="3"/>
      <c r="C30" s="3"/>
      <c r="D30" s="3"/>
      <c r="E30" s="3"/>
      <c r="F30" s="3"/>
      <c r="G30" s="3"/>
      <c r="H30" s="3"/>
      <c r="I30" s="3"/>
    </row>
    <row r="31" spans="1:9" ht="15" customHeight="1" x14ac:dyDescent="0.35">
      <c r="A31" s="3"/>
      <c r="B31" s="3"/>
      <c r="C31" s="3"/>
      <c r="D31" s="3"/>
      <c r="E31" s="3"/>
      <c r="F31" s="3"/>
      <c r="G31" s="3"/>
      <c r="H31" s="3"/>
      <c r="I31" s="3"/>
    </row>
    <row r="32" spans="1:9" ht="15" customHeight="1" x14ac:dyDescent="0.35">
      <c r="A32" s="3"/>
      <c r="B32" s="3"/>
      <c r="C32" s="3"/>
      <c r="D32" s="3"/>
      <c r="E32" s="3"/>
      <c r="F32" s="3"/>
      <c r="G32" s="3"/>
      <c r="H32" s="3"/>
      <c r="I32" s="3"/>
    </row>
    <row r="33" spans="1:9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</row>
    <row r="34" spans="1:9" ht="15" customHeight="1" x14ac:dyDescent="0.35">
      <c r="A34" s="3"/>
      <c r="B34" s="3"/>
      <c r="C34" s="3"/>
      <c r="D34" s="3"/>
      <c r="E34" s="3"/>
      <c r="F34" s="3"/>
      <c r="G34" s="3"/>
      <c r="H34" s="3"/>
      <c r="I34" s="3"/>
    </row>
    <row r="35" spans="1: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</row>
    <row r="36" spans="1:9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</row>
    <row r="38" spans="1: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</row>
    <row r="40" spans="1:9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</row>
    <row r="41" spans="1:9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</row>
    <row r="43" spans="1: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</row>
    <row r="45" spans="1: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</row>
    <row r="46" spans="1: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</row>
    <row r="47" spans="1: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</row>
    <row r="48" spans="1:9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</row>
    <row r="49" spans="1: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</row>
    <row r="52" spans="1:9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</row>
    <row r="53" spans="1:9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</row>
    <row r="54" spans="1:9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</row>
    <row r="55" spans="1:9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</row>
    <row r="56" spans="1:9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</row>
    <row r="57" spans="1:9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</row>
    <row r="58" spans="1:9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</row>
    <row r="59" spans="1:9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</row>
    <row r="60" spans="1:9" ht="15" customHeight="1" x14ac:dyDescent="0.35">
      <c r="A60" s="3"/>
      <c r="B60" s="3"/>
      <c r="C60" s="3"/>
      <c r="D60" s="3"/>
      <c r="E60" s="3"/>
      <c r="F60" s="3"/>
      <c r="G60" s="3"/>
      <c r="H60" s="3"/>
      <c r="I60" s="3"/>
    </row>
    <row r="61" spans="1:9" ht="15" customHeight="1" x14ac:dyDescent="0.35">
      <c r="A61" s="3"/>
      <c r="B61" s="3"/>
      <c r="C61" s="3"/>
      <c r="D61" s="3"/>
      <c r="E61" s="3"/>
      <c r="F61" s="3"/>
      <c r="G61" s="3"/>
      <c r="H61" s="3"/>
      <c r="I61" s="3"/>
    </row>
    <row r="62" spans="1:9" ht="15" customHeight="1" x14ac:dyDescent="0.35">
      <c r="A62" s="3"/>
      <c r="B62" s="3"/>
      <c r="C62" s="3"/>
      <c r="D62" s="3"/>
      <c r="E62" s="3"/>
      <c r="F62" s="3"/>
      <c r="G62" s="3"/>
      <c r="H62" s="3"/>
      <c r="I62" s="3"/>
    </row>
    <row r="63" spans="1:9" ht="15" customHeight="1" x14ac:dyDescent="0.35">
      <c r="A63" s="3"/>
      <c r="B63" s="3"/>
      <c r="C63" s="3"/>
      <c r="D63" s="3"/>
      <c r="E63" s="3"/>
      <c r="F63" s="3"/>
      <c r="G63" s="3"/>
      <c r="H63" s="3"/>
      <c r="I63" s="3"/>
    </row>
    <row r="64" spans="1:9" ht="15" customHeight="1" x14ac:dyDescent="0.35">
      <c r="A64" s="3"/>
      <c r="B64" s="3"/>
      <c r="C64" s="3"/>
      <c r="D64" s="3"/>
      <c r="E64" s="3"/>
      <c r="F64" s="3"/>
      <c r="G64" s="3"/>
      <c r="H64" s="3"/>
      <c r="I64" s="3"/>
    </row>
    <row r="65" spans="1:9" ht="15" customHeight="1" x14ac:dyDescent="0.35">
      <c r="A65" s="3"/>
      <c r="B65" s="3"/>
      <c r="C65" s="3"/>
      <c r="D65" s="3"/>
      <c r="E65" s="3"/>
      <c r="F65" s="3"/>
      <c r="G65" s="3"/>
      <c r="H65" s="3"/>
      <c r="I65" s="3"/>
    </row>
    <row r="66" spans="1:9" ht="15" customHeight="1" x14ac:dyDescent="0.35">
      <c r="A66" s="3"/>
      <c r="B66" s="3"/>
      <c r="C66" s="3"/>
      <c r="D66" s="3"/>
      <c r="E66" s="3"/>
      <c r="F66" s="3"/>
      <c r="G66" s="3"/>
      <c r="H66" s="3"/>
      <c r="I66" s="3"/>
    </row>
    <row r="67" spans="1:9" ht="15" customHeight="1" x14ac:dyDescent="0.35">
      <c r="A67" s="3"/>
      <c r="B67" s="3"/>
      <c r="C67" s="3"/>
      <c r="D67" s="3"/>
      <c r="E67" s="3"/>
      <c r="F67" s="3"/>
      <c r="G67" s="3"/>
      <c r="H67" s="3"/>
      <c r="I67" s="3"/>
    </row>
    <row r="68" spans="1:9" ht="15" customHeight="1" x14ac:dyDescent="0.35">
      <c r="A68" s="3"/>
      <c r="B68" s="3"/>
      <c r="C68" s="3"/>
      <c r="D68" s="3"/>
      <c r="E68" s="3"/>
      <c r="F68" s="3"/>
      <c r="G68" s="3"/>
      <c r="H68" s="3"/>
      <c r="I68" s="3"/>
    </row>
    <row r="69" spans="1:9" ht="15" customHeight="1" x14ac:dyDescent="0.35">
      <c r="A69" s="3"/>
      <c r="B69" s="3"/>
      <c r="C69" s="3"/>
      <c r="D69" s="3"/>
      <c r="E69" s="3"/>
      <c r="F69" s="3"/>
      <c r="G69" s="3"/>
      <c r="H69" s="3"/>
      <c r="I69" s="3"/>
    </row>
    <row r="70" spans="1:9" ht="15" customHeight="1" x14ac:dyDescent="0.35">
      <c r="A70" s="3"/>
      <c r="B70" s="3"/>
      <c r="C70" s="3"/>
      <c r="D70" s="3"/>
      <c r="E70" s="3"/>
      <c r="F70" s="3"/>
      <c r="G70" s="3"/>
      <c r="H70" s="3"/>
      <c r="I70" s="3"/>
    </row>
    <row r="71" spans="1:9" ht="15" customHeight="1" x14ac:dyDescent="0.35">
      <c r="A71" s="3"/>
      <c r="B71" s="3"/>
      <c r="C71" s="3"/>
      <c r="D71" s="3"/>
      <c r="E71" s="3"/>
      <c r="F71" s="3"/>
      <c r="G71" s="3"/>
      <c r="H71" s="3"/>
      <c r="I71" s="3"/>
    </row>
    <row r="72" spans="1:9" ht="15" customHeight="1" x14ac:dyDescent="0.35">
      <c r="A72" s="3"/>
      <c r="B72" s="3"/>
      <c r="C72" s="3"/>
      <c r="D72" s="3"/>
      <c r="E72" s="3"/>
      <c r="F72" s="3"/>
      <c r="G72" s="3"/>
      <c r="H72" s="3"/>
      <c r="I72" s="3"/>
    </row>
    <row r="73" spans="1:9" ht="15" customHeight="1" x14ac:dyDescent="0.35">
      <c r="A73" s="3"/>
      <c r="B73" s="3"/>
      <c r="C73" s="3"/>
      <c r="D73" s="3"/>
      <c r="E73" s="3"/>
      <c r="F73" s="3"/>
      <c r="G73" s="3"/>
      <c r="H73" s="3"/>
      <c r="I73" s="3"/>
    </row>
    <row r="74" spans="1:9" ht="15" customHeight="1" x14ac:dyDescent="0.35">
      <c r="A74" s="3"/>
      <c r="B74" s="3"/>
      <c r="C74" s="3"/>
      <c r="D74" s="3"/>
      <c r="E74" s="3"/>
      <c r="F74" s="3"/>
      <c r="G74" s="3"/>
      <c r="H74" s="3"/>
      <c r="I74" s="3"/>
    </row>
    <row r="75" spans="1:9" ht="15" customHeight="1" x14ac:dyDescent="0.35">
      <c r="A75" s="3"/>
      <c r="B75" s="3"/>
      <c r="C75" s="3"/>
      <c r="D75" s="3"/>
      <c r="E75" s="3"/>
      <c r="F75" s="3"/>
      <c r="G75" s="3"/>
      <c r="H75" s="3"/>
      <c r="I75" s="3"/>
    </row>
    <row r="76" spans="1:9" ht="15" customHeight="1" x14ac:dyDescent="0.35">
      <c r="A76" s="3"/>
      <c r="B76" s="3"/>
      <c r="C76" s="3"/>
      <c r="D76" s="3"/>
      <c r="E76" s="3"/>
      <c r="F76" s="3"/>
      <c r="G76" s="3"/>
      <c r="H76" s="3"/>
      <c r="I76" s="3"/>
    </row>
    <row r="77" spans="1:9" ht="15" customHeight="1" x14ac:dyDescent="0.35">
      <c r="A77" s="3"/>
      <c r="B77" s="3"/>
      <c r="C77" s="3"/>
      <c r="D77" s="3"/>
      <c r="E77" s="3"/>
      <c r="F77" s="3"/>
      <c r="G77" s="3"/>
      <c r="H77" s="3"/>
      <c r="I77" s="3"/>
    </row>
    <row r="78" spans="1:9" ht="15" customHeight="1" x14ac:dyDescent="0.35">
      <c r="A78" s="3"/>
      <c r="B78" s="3"/>
      <c r="C78" s="3"/>
      <c r="D78" s="3"/>
      <c r="E78" s="3"/>
      <c r="F78" s="3"/>
      <c r="G78" s="3"/>
      <c r="H78" s="3"/>
      <c r="I78" s="3"/>
    </row>
    <row r="79" spans="1:9" ht="15" customHeight="1" x14ac:dyDescent="0.35">
      <c r="A79" s="3"/>
      <c r="B79" s="3"/>
      <c r="C79" s="3"/>
      <c r="D79" s="3"/>
      <c r="E79" s="3"/>
      <c r="F79" s="3"/>
      <c r="G79" s="3"/>
      <c r="H79" s="3"/>
      <c r="I79" s="3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59E0B"/>
  </sheetPr>
  <dimension ref="A1:I49"/>
  <sheetViews>
    <sheetView zoomScaleNormal="100" workbookViewId="0">
      <selection sqref="A1:F1"/>
    </sheetView>
  </sheetViews>
  <sheetFormatPr baseColWidth="10" defaultColWidth="8.6328125" defaultRowHeight="14.5" x14ac:dyDescent="0.35"/>
  <cols>
    <col min="1" max="1" width="28" customWidth="1"/>
    <col min="2" max="6" width="16" customWidth="1"/>
  </cols>
  <sheetData>
    <row r="1" spans="1:9" ht="30" customHeight="1" x14ac:dyDescent="0.35">
      <c r="A1" s="170" t="s">
        <v>158</v>
      </c>
      <c r="B1" s="170"/>
      <c r="C1" s="170"/>
      <c r="D1" s="170"/>
      <c r="E1" s="170"/>
      <c r="F1" s="170"/>
      <c r="G1" s="3"/>
      <c r="H1" s="3"/>
      <c r="I1" s="3"/>
    </row>
    <row r="2" spans="1:9" ht="15" customHeight="1" x14ac:dyDescent="0.35">
      <c r="A2" s="3"/>
      <c r="B2" s="3"/>
      <c r="C2" s="3"/>
      <c r="D2" s="3"/>
      <c r="E2" s="3"/>
      <c r="F2" s="3"/>
      <c r="G2" s="3"/>
      <c r="H2" s="3"/>
      <c r="I2" s="3"/>
    </row>
    <row r="3" spans="1:9" ht="15.75" customHeight="1" x14ac:dyDescent="0.35">
      <c r="A3" s="96" t="s">
        <v>5</v>
      </c>
      <c r="B3" s="97">
        <f>'⚙ Setup'!B7</f>
        <v>5000</v>
      </c>
      <c r="C3" s="3"/>
      <c r="D3" s="3"/>
      <c r="E3" s="3"/>
      <c r="F3" s="3"/>
      <c r="G3" s="3"/>
      <c r="H3" s="3"/>
      <c r="I3" s="3"/>
    </row>
    <row r="4" spans="1:9" ht="15" customHeight="1" x14ac:dyDescent="0.35">
      <c r="A4" s="3"/>
      <c r="B4" s="3"/>
      <c r="C4" s="3"/>
      <c r="D4" s="3"/>
      <c r="E4" s="3"/>
      <c r="F4" s="3"/>
      <c r="G4" s="3"/>
      <c r="H4" s="3"/>
      <c r="I4" s="3"/>
    </row>
    <row r="5" spans="1:9" ht="24" customHeight="1" x14ac:dyDescent="0.35">
      <c r="A5" s="184" t="s">
        <v>159</v>
      </c>
      <c r="B5" s="184"/>
      <c r="C5" s="184"/>
      <c r="D5" s="184"/>
      <c r="E5" s="184"/>
      <c r="F5" s="184"/>
      <c r="G5" s="3"/>
      <c r="H5" s="3"/>
      <c r="I5" s="3"/>
    </row>
    <row r="6" spans="1:9" ht="15" customHeight="1" x14ac:dyDescent="0.35">
      <c r="A6" s="181" t="s">
        <v>160</v>
      </c>
      <c r="B6" s="181"/>
      <c r="C6" s="181"/>
      <c r="D6" s="181"/>
      <c r="E6" s="181"/>
      <c r="F6" s="181"/>
      <c r="G6" s="3"/>
      <c r="H6" s="3"/>
      <c r="I6" s="3"/>
    </row>
    <row r="7" spans="1:9" ht="15" customHeight="1" x14ac:dyDescent="0.35">
      <c r="A7" s="3"/>
      <c r="B7" s="98" t="s">
        <v>161</v>
      </c>
      <c r="C7" s="98" t="s">
        <v>162</v>
      </c>
      <c r="D7" s="98" t="s">
        <v>65</v>
      </c>
      <c r="E7" s="3"/>
      <c r="F7" s="3"/>
      <c r="G7" s="3"/>
      <c r="H7" s="3"/>
      <c r="I7" s="3"/>
    </row>
    <row r="8" spans="1:9" ht="15.75" customHeight="1" x14ac:dyDescent="0.35">
      <c r="A8" s="3"/>
      <c r="B8" s="99">
        <f>B3*0.5</f>
        <v>2500</v>
      </c>
      <c r="C8" s="100">
        <f>(SUM(Jan:Dec!C17)+SUM(Jan:Dec!C18)+SUM(Jan:Dec!C19)+SUM(Jan:Dec!C20)+SUM(Jan:Dec!C21)+SUM(Jan:Dec!C22))/12</f>
        <v>2980</v>
      </c>
      <c r="D8" s="101">
        <f>B8-C8</f>
        <v>-480</v>
      </c>
      <c r="E8" s="3"/>
      <c r="F8" s="3"/>
      <c r="G8" s="3"/>
      <c r="H8" s="3"/>
      <c r="I8" s="3"/>
    </row>
    <row r="9" spans="1:9" ht="15" customHeight="1" x14ac:dyDescent="0.35">
      <c r="A9" s="3"/>
      <c r="B9" s="3"/>
      <c r="C9" s="3"/>
      <c r="D9" s="3"/>
      <c r="E9" s="3"/>
      <c r="F9" s="3"/>
      <c r="G9" s="3"/>
      <c r="H9" s="3"/>
      <c r="I9" s="3"/>
    </row>
    <row r="10" spans="1:9" ht="24" customHeight="1" x14ac:dyDescent="0.35">
      <c r="A10" s="185" t="s">
        <v>163</v>
      </c>
      <c r="B10" s="185"/>
      <c r="C10" s="185"/>
      <c r="D10" s="185"/>
      <c r="E10" s="185"/>
      <c r="F10" s="185"/>
      <c r="G10" s="3"/>
      <c r="H10" s="3"/>
      <c r="I10" s="3"/>
    </row>
    <row r="11" spans="1:9" ht="15" customHeight="1" x14ac:dyDescent="0.35">
      <c r="A11" s="181" t="s">
        <v>164</v>
      </c>
      <c r="B11" s="181"/>
      <c r="C11" s="181"/>
      <c r="D11" s="181"/>
      <c r="E11" s="181"/>
      <c r="F11" s="181"/>
      <c r="G11" s="3"/>
      <c r="H11" s="3"/>
      <c r="I11" s="3"/>
    </row>
    <row r="12" spans="1:9" ht="15" customHeight="1" x14ac:dyDescent="0.35">
      <c r="A12" s="3"/>
      <c r="B12" s="98" t="s">
        <v>161</v>
      </c>
      <c r="C12" s="98" t="s">
        <v>162</v>
      </c>
      <c r="D12" s="98" t="s">
        <v>65</v>
      </c>
      <c r="E12" s="3"/>
      <c r="F12" s="3"/>
      <c r="G12" s="3"/>
      <c r="H12" s="3"/>
      <c r="I12" s="3"/>
    </row>
    <row r="13" spans="1:9" ht="15.75" customHeight="1" x14ac:dyDescent="0.35">
      <c r="A13" s="3"/>
      <c r="B13" s="102">
        <f>B3*0.3</f>
        <v>1500</v>
      </c>
      <c r="C13" s="100">
        <f>(SUM(Jan:Dec!C23)+SUM(Jan:Dec!C24)+SUM(Jan:Dec!C25)+SUM(Jan:Dec!C27)+SUM(Jan:Dec!C28)+SUM(Jan:Dec!C30)+SUM(Jan:Dec!C31))/12</f>
        <v>684.58333333333337</v>
      </c>
      <c r="D13" s="101">
        <f>B13-C13</f>
        <v>815.41666666666663</v>
      </c>
      <c r="E13" s="3"/>
      <c r="F13" s="3"/>
      <c r="G13" s="3"/>
      <c r="H13" s="3"/>
      <c r="I13" s="3"/>
    </row>
    <row r="14" spans="1:9" ht="15" customHeight="1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9" ht="24" customHeight="1" x14ac:dyDescent="0.35">
      <c r="A15" s="183" t="s">
        <v>165</v>
      </c>
      <c r="B15" s="183"/>
      <c r="C15" s="183"/>
      <c r="D15" s="183"/>
      <c r="E15" s="183"/>
      <c r="F15" s="183"/>
      <c r="G15" s="3"/>
      <c r="H15" s="3"/>
      <c r="I15" s="3"/>
    </row>
    <row r="16" spans="1:9" ht="15" customHeight="1" x14ac:dyDescent="0.35">
      <c r="A16" s="181" t="s">
        <v>166</v>
      </c>
      <c r="B16" s="181"/>
      <c r="C16" s="181"/>
      <c r="D16" s="181"/>
      <c r="E16" s="181"/>
      <c r="F16" s="181"/>
      <c r="G16" s="3"/>
      <c r="H16" s="3"/>
      <c r="I16" s="3"/>
    </row>
    <row r="17" spans="1:9" ht="15" customHeight="1" x14ac:dyDescent="0.35">
      <c r="A17" s="3"/>
      <c r="B17" s="98" t="s">
        <v>161</v>
      </c>
      <c r="C17" s="98" t="s">
        <v>162</v>
      </c>
      <c r="D17" s="98" t="s">
        <v>65</v>
      </c>
      <c r="E17" s="3"/>
      <c r="F17" s="3"/>
      <c r="G17" s="3"/>
      <c r="H17" s="3"/>
      <c r="I17" s="3"/>
    </row>
    <row r="18" spans="1:9" ht="15.75" customHeight="1" x14ac:dyDescent="0.35">
      <c r="A18" s="3"/>
      <c r="B18" s="97">
        <f>B3*0.2</f>
        <v>1000</v>
      </c>
      <c r="C18" s="100">
        <f>'📊 Annual Dashboard'!D20/12</f>
        <v>1447.9166666666667</v>
      </c>
      <c r="D18" s="101">
        <f>B18-C18</f>
        <v>-447.91666666666674</v>
      </c>
      <c r="E18" s="3"/>
      <c r="F18" s="3"/>
      <c r="G18" s="3"/>
      <c r="H18" s="3"/>
      <c r="I18" s="3"/>
    </row>
    <row r="19" spans="1:9" ht="15" customHeight="1" x14ac:dyDescent="0.35">
      <c r="A19" s="3"/>
      <c r="B19" s="3"/>
      <c r="C19" s="3"/>
      <c r="D19" s="3"/>
      <c r="E19" s="3"/>
      <c r="F19" s="3"/>
      <c r="G19" s="3"/>
      <c r="H19" s="3"/>
      <c r="I19" s="3"/>
    </row>
    <row r="20" spans="1:9" ht="15" customHeight="1" x14ac:dyDescent="0.35">
      <c r="A20" s="3"/>
      <c r="B20" s="3"/>
      <c r="C20" s="3"/>
      <c r="D20" s="3"/>
      <c r="E20" s="3"/>
      <c r="F20" s="3"/>
      <c r="G20" s="3"/>
      <c r="H20" s="3"/>
      <c r="I20" s="3"/>
    </row>
    <row r="21" spans="1:9" ht="15" customHeight="1" x14ac:dyDescent="0.35">
      <c r="A21" s="3"/>
      <c r="B21" s="3"/>
      <c r="C21" s="3"/>
      <c r="D21" s="3"/>
      <c r="E21" s="3"/>
      <c r="F21" s="3"/>
      <c r="G21" s="3"/>
      <c r="H21" s="3"/>
      <c r="I21" s="3"/>
    </row>
    <row r="22" spans="1:9" ht="15" customHeight="1" x14ac:dyDescent="0.35">
      <c r="A22" s="3"/>
      <c r="B22" s="3"/>
      <c r="C22" s="3"/>
      <c r="D22" s="3"/>
      <c r="E22" s="3"/>
      <c r="F22" s="3"/>
      <c r="G22" s="3"/>
      <c r="H22" s="3"/>
      <c r="I22" s="3"/>
    </row>
    <row r="23" spans="1:9" ht="15" customHeight="1" x14ac:dyDescent="0.35">
      <c r="A23" s="3"/>
      <c r="B23" s="3"/>
      <c r="C23" s="3"/>
      <c r="D23" s="3"/>
      <c r="E23" s="3"/>
      <c r="F23" s="3"/>
      <c r="G23" s="3"/>
      <c r="H23" s="3"/>
      <c r="I23" s="3"/>
    </row>
    <row r="24" spans="1:9" ht="15" customHeight="1" x14ac:dyDescent="0.35">
      <c r="A24" s="3"/>
      <c r="B24" s="3"/>
      <c r="C24" s="3"/>
      <c r="D24" s="3"/>
      <c r="E24" s="3"/>
      <c r="F24" s="3"/>
      <c r="G24" s="3"/>
      <c r="H24" s="3"/>
      <c r="I24" s="3"/>
    </row>
    <row r="25" spans="1:9" ht="15" customHeight="1" x14ac:dyDescent="0.35">
      <c r="A25" s="3"/>
      <c r="B25" s="3"/>
      <c r="C25" s="3"/>
      <c r="D25" s="3"/>
      <c r="E25" s="3"/>
      <c r="F25" s="3"/>
      <c r="G25" s="3"/>
      <c r="H25" s="3"/>
      <c r="I25" s="3"/>
    </row>
    <row r="26" spans="1:9" ht="15" customHeight="1" x14ac:dyDescent="0.35">
      <c r="A26" s="3"/>
      <c r="B26" s="3"/>
      <c r="C26" s="3"/>
      <c r="D26" s="3"/>
      <c r="E26" s="3"/>
      <c r="F26" s="3"/>
      <c r="G26" s="3"/>
      <c r="H26" s="3"/>
      <c r="I26" s="3"/>
    </row>
    <row r="27" spans="1:9" ht="15" customHeight="1" x14ac:dyDescent="0.35">
      <c r="A27" s="3"/>
      <c r="B27" s="3"/>
      <c r="C27" s="3"/>
      <c r="D27" s="3"/>
      <c r="E27" s="3"/>
      <c r="F27" s="3"/>
      <c r="G27" s="3"/>
      <c r="H27" s="3"/>
      <c r="I27" s="3"/>
    </row>
    <row r="28" spans="1:9" ht="15" customHeight="1" x14ac:dyDescent="0.35">
      <c r="A28" s="3"/>
      <c r="B28" s="3"/>
      <c r="C28" s="3"/>
      <c r="D28" s="3"/>
      <c r="E28" s="3"/>
      <c r="F28" s="3"/>
      <c r="G28" s="3"/>
      <c r="H28" s="3"/>
      <c r="I28" s="3"/>
    </row>
    <row r="29" spans="1:9" ht="15" customHeight="1" x14ac:dyDescent="0.35">
      <c r="A29" s="3"/>
      <c r="B29" s="3"/>
      <c r="C29" s="3"/>
      <c r="D29" s="3"/>
      <c r="E29" s="3"/>
      <c r="F29" s="3"/>
      <c r="G29" s="3"/>
      <c r="H29" s="3"/>
      <c r="I29" s="3"/>
    </row>
    <row r="30" spans="1:9" ht="15" customHeight="1" x14ac:dyDescent="0.35">
      <c r="A30" s="3"/>
      <c r="B30" s="3"/>
      <c r="C30" s="3"/>
      <c r="D30" s="3"/>
      <c r="E30" s="3"/>
      <c r="F30" s="3"/>
      <c r="G30" s="3"/>
      <c r="H30" s="3"/>
      <c r="I30" s="3"/>
    </row>
    <row r="31" spans="1:9" ht="15" customHeight="1" x14ac:dyDescent="0.35">
      <c r="A31" s="3"/>
      <c r="B31" s="3"/>
      <c r="C31" s="3"/>
      <c r="D31" s="3"/>
      <c r="E31" s="3"/>
      <c r="F31" s="3"/>
      <c r="G31" s="3"/>
      <c r="H31" s="3"/>
      <c r="I31" s="3"/>
    </row>
    <row r="32" spans="1:9" ht="15" customHeight="1" x14ac:dyDescent="0.35">
      <c r="A32" s="3"/>
      <c r="B32" s="3"/>
      <c r="C32" s="3"/>
      <c r="D32" s="3"/>
      <c r="E32" s="3"/>
      <c r="F32" s="3"/>
      <c r="G32" s="3"/>
      <c r="H32" s="3"/>
      <c r="I32" s="3"/>
    </row>
    <row r="33" spans="1:9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</row>
    <row r="34" spans="1:9" ht="15" customHeight="1" x14ac:dyDescent="0.35">
      <c r="A34" s="3"/>
      <c r="B34" s="3"/>
      <c r="C34" s="3"/>
      <c r="D34" s="3"/>
      <c r="E34" s="3"/>
      <c r="F34" s="3"/>
      <c r="G34" s="3"/>
      <c r="H34" s="3"/>
      <c r="I34" s="3"/>
    </row>
    <row r="35" spans="1: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</row>
    <row r="36" spans="1:9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</row>
    <row r="38" spans="1: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</row>
    <row r="40" spans="1:9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</row>
    <row r="41" spans="1:9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</row>
    <row r="43" spans="1:9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</row>
    <row r="45" spans="1:9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</row>
    <row r="46" spans="1:9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</row>
    <row r="47" spans="1:9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</row>
    <row r="48" spans="1:9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</row>
    <row r="49" spans="1:9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</row>
  </sheetData>
  <mergeCells count="7">
    <mergeCell ref="A15:F15"/>
    <mergeCell ref="A16:F16"/>
    <mergeCell ref="A1:F1"/>
    <mergeCell ref="A5:F5"/>
    <mergeCell ref="A6:F6"/>
    <mergeCell ref="A10:F10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C4899"/>
  </sheetPr>
  <dimension ref="A1:K69"/>
  <sheetViews>
    <sheetView zoomScaleNormal="100" workbookViewId="0">
      <selection sqref="A1:J1"/>
    </sheetView>
  </sheetViews>
  <sheetFormatPr baseColWidth="10" defaultColWidth="8.6328125" defaultRowHeight="14.5" x14ac:dyDescent="0.35"/>
  <cols>
    <col min="1" max="1" width="24" customWidth="1"/>
    <col min="2" max="10" width="14" customWidth="1"/>
  </cols>
  <sheetData>
    <row r="1" spans="1:11" ht="30" customHeight="1" x14ac:dyDescent="0.35">
      <c r="A1" s="170" t="s">
        <v>167</v>
      </c>
      <c r="B1" s="170"/>
      <c r="C1" s="170"/>
      <c r="D1" s="170"/>
      <c r="E1" s="170"/>
      <c r="F1" s="170"/>
      <c r="G1" s="170"/>
      <c r="H1" s="170"/>
      <c r="I1" s="170"/>
      <c r="J1" s="170"/>
      <c r="K1" s="3"/>
    </row>
    <row r="2" spans="1:11" ht="15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" customHeight="1" x14ac:dyDescent="0.35">
      <c r="A3" s="3"/>
      <c r="B3" s="103" t="s">
        <v>168</v>
      </c>
      <c r="C3" s="104" t="s">
        <v>169</v>
      </c>
      <c r="D3" s="3"/>
      <c r="E3" s="3"/>
      <c r="F3" s="103" t="s">
        <v>170</v>
      </c>
      <c r="G3" s="104" t="s">
        <v>171</v>
      </c>
      <c r="H3" s="3"/>
      <c r="I3" s="3"/>
      <c r="J3" s="3"/>
      <c r="K3" s="3"/>
    </row>
    <row r="4" spans="1:11" ht="15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24" customHeight="1" x14ac:dyDescent="0.35">
      <c r="A5" s="5" t="s">
        <v>172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" customHeight="1" x14ac:dyDescent="0.35">
      <c r="A6" s="12" t="s">
        <v>61</v>
      </c>
      <c r="B6" s="12" t="s">
        <v>169</v>
      </c>
      <c r="C6" s="12" t="s">
        <v>171</v>
      </c>
      <c r="D6" s="12" t="s">
        <v>173</v>
      </c>
      <c r="E6" s="12" t="s">
        <v>174</v>
      </c>
      <c r="F6" s="3"/>
      <c r="G6" s="3"/>
      <c r="H6" s="3"/>
      <c r="I6" s="3"/>
      <c r="J6" s="3"/>
      <c r="K6" s="3"/>
    </row>
    <row r="7" spans="1:11" ht="15" customHeight="1" x14ac:dyDescent="0.35">
      <c r="A7" s="34" t="s">
        <v>66</v>
      </c>
      <c r="B7" s="14">
        <v>0</v>
      </c>
      <c r="C7" s="14">
        <v>0</v>
      </c>
      <c r="D7" s="64">
        <f>B7+C7</f>
        <v>0</v>
      </c>
      <c r="E7" s="105">
        <f>IFERROR(D7/D11,0)</f>
        <v>0</v>
      </c>
      <c r="F7" s="3"/>
      <c r="G7" s="3"/>
      <c r="H7" s="3"/>
      <c r="I7" s="3"/>
      <c r="J7" s="3"/>
      <c r="K7" s="3"/>
    </row>
    <row r="8" spans="1:11" ht="15" customHeight="1" x14ac:dyDescent="0.35">
      <c r="A8" s="37" t="s">
        <v>67</v>
      </c>
      <c r="B8" s="20">
        <v>0</v>
      </c>
      <c r="C8" s="20">
        <v>0</v>
      </c>
      <c r="D8" s="73">
        <f>B8+C8</f>
        <v>0</v>
      </c>
      <c r="E8" s="106">
        <f>IFERROR(D8/D11,0)</f>
        <v>0</v>
      </c>
      <c r="F8" s="3"/>
      <c r="G8" s="3"/>
      <c r="H8" s="3"/>
      <c r="I8" s="3"/>
      <c r="J8" s="3"/>
      <c r="K8" s="3"/>
    </row>
    <row r="9" spans="1:11" ht="15" customHeight="1" x14ac:dyDescent="0.35">
      <c r="A9" s="34" t="s">
        <v>175</v>
      </c>
      <c r="B9" s="14">
        <v>0</v>
      </c>
      <c r="C9" s="14">
        <v>0</v>
      </c>
      <c r="D9" s="64">
        <f>B9+C9</f>
        <v>0</v>
      </c>
      <c r="E9" s="105">
        <f>IFERROR(D9/D11,0)</f>
        <v>0</v>
      </c>
      <c r="F9" s="3"/>
      <c r="G9" s="3"/>
      <c r="H9" s="3"/>
      <c r="I9" s="3"/>
      <c r="J9" s="3"/>
      <c r="K9" s="3"/>
    </row>
    <row r="10" spans="1:11" ht="15" customHeight="1" x14ac:dyDescent="0.35">
      <c r="A10" s="37" t="s">
        <v>70</v>
      </c>
      <c r="B10" s="20">
        <v>0</v>
      </c>
      <c r="C10" s="20">
        <v>0</v>
      </c>
      <c r="D10" s="73">
        <f>B10+C10</f>
        <v>0</v>
      </c>
      <c r="E10" s="106">
        <f>IFERROR(D10/D11,0)</f>
        <v>0</v>
      </c>
      <c r="F10" s="3"/>
      <c r="G10" s="3"/>
      <c r="H10" s="3"/>
      <c r="I10" s="3"/>
      <c r="J10" s="3"/>
      <c r="K10" s="3"/>
    </row>
    <row r="11" spans="1:11" ht="15" customHeight="1" x14ac:dyDescent="0.35">
      <c r="A11" s="107" t="s">
        <v>30</v>
      </c>
      <c r="B11" s="108">
        <f>SUM(B7:B10)</f>
        <v>0</v>
      </c>
      <c r="C11" s="108">
        <f>SUM(C7:C10)</f>
        <v>0</v>
      </c>
      <c r="D11" s="108">
        <f>SUM(D7:D10)</f>
        <v>0</v>
      </c>
      <c r="E11" s="109" t="s">
        <v>176</v>
      </c>
      <c r="F11" s="3"/>
      <c r="G11" s="3"/>
      <c r="H11" s="3"/>
      <c r="I11" s="3"/>
      <c r="J11" s="3"/>
      <c r="K11" s="3"/>
    </row>
    <row r="12" spans="1:11" ht="15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24" customHeight="1" x14ac:dyDescent="0.35">
      <c r="A13" s="5" t="s">
        <v>177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" customHeight="1" x14ac:dyDescent="0.35">
      <c r="A14" s="12" t="s">
        <v>71</v>
      </c>
      <c r="B14" s="12" t="s">
        <v>178</v>
      </c>
      <c r="C14" s="12" t="s">
        <v>179</v>
      </c>
      <c r="D14" s="12" t="s">
        <v>180</v>
      </c>
      <c r="E14" s="12" t="s">
        <v>181</v>
      </c>
      <c r="F14" s="12" t="s">
        <v>62</v>
      </c>
      <c r="G14" s="3"/>
      <c r="H14" s="3"/>
      <c r="I14" s="3"/>
      <c r="J14" s="3"/>
      <c r="K14" s="3"/>
    </row>
    <row r="15" spans="1:11" ht="15" customHeight="1" x14ac:dyDescent="0.35">
      <c r="A15" s="34" t="s">
        <v>79</v>
      </c>
      <c r="B15" s="64">
        <v>1500</v>
      </c>
      <c r="C15" s="110">
        <v>0.5</v>
      </c>
      <c r="D15" s="14">
        <f t="shared" ref="D15:D22" si="0">B15*C15</f>
        <v>750</v>
      </c>
      <c r="E15" s="111">
        <f t="shared" ref="E15:E22" si="1">B15*(1-C15)</f>
        <v>750</v>
      </c>
      <c r="F15" s="112"/>
      <c r="G15" s="3"/>
      <c r="H15" s="3"/>
      <c r="I15" s="3"/>
      <c r="J15" s="3"/>
      <c r="K15" s="3"/>
    </row>
    <row r="16" spans="1:11" ht="15" customHeight="1" x14ac:dyDescent="0.35">
      <c r="A16" s="37" t="s">
        <v>17</v>
      </c>
      <c r="B16" s="73">
        <v>300</v>
      </c>
      <c r="C16" s="113">
        <v>0.5</v>
      </c>
      <c r="D16" s="20">
        <f t="shared" si="0"/>
        <v>150</v>
      </c>
      <c r="E16" s="114">
        <f t="shared" si="1"/>
        <v>150</v>
      </c>
      <c r="F16" s="115"/>
      <c r="G16" s="3"/>
      <c r="H16" s="3"/>
      <c r="I16" s="3"/>
      <c r="J16" s="3"/>
      <c r="K16" s="3"/>
    </row>
    <row r="17" spans="1:11" ht="15" customHeight="1" x14ac:dyDescent="0.35">
      <c r="A17" s="34" t="s">
        <v>182</v>
      </c>
      <c r="B17" s="64">
        <v>600</v>
      </c>
      <c r="C17" s="110">
        <v>0.5</v>
      </c>
      <c r="D17" s="14">
        <f t="shared" si="0"/>
        <v>300</v>
      </c>
      <c r="E17" s="111">
        <f t="shared" si="1"/>
        <v>300</v>
      </c>
      <c r="F17" s="112"/>
      <c r="G17" s="3"/>
      <c r="H17" s="3"/>
      <c r="I17" s="3"/>
      <c r="J17" s="3"/>
      <c r="K17" s="3"/>
    </row>
    <row r="18" spans="1:11" ht="15" customHeight="1" x14ac:dyDescent="0.35">
      <c r="A18" s="37" t="s">
        <v>183</v>
      </c>
      <c r="B18" s="73">
        <v>50</v>
      </c>
      <c r="C18" s="113">
        <v>0.5</v>
      </c>
      <c r="D18" s="20">
        <f t="shared" si="0"/>
        <v>25</v>
      </c>
      <c r="E18" s="114">
        <f t="shared" si="1"/>
        <v>25</v>
      </c>
      <c r="F18" s="115"/>
      <c r="G18" s="3"/>
      <c r="H18" s="3"/>
      <c r="I18" s="3"/>
      <c r="J18" s="3"/>
      <c r="K18" s="3"/>
    </row>
    <row r="19" spans="1:11" ht="15" customHeight="1" x14ac:dyDescent="0.35">
      <c r="A19" s="34" t="s">
        <v>86</v>
      </c>
      <c r="B19" s="64">
        <v>80</v>
      </c>
      <c r="C19" s="110">
        <v>0.5</v>
      </c>
      <c r="D19" s="14">
        <f t="shared" si="0"/>
        <v>40</v>
      </c>
      <c r="E19" s="111">
        <f t="shared" si="1"/>
        <v>40</v>
      </c>
      <c r="F19" s="112"/>
      <c r="G19" s="3"/>
      <c r="H19" s="3"/>
      <c r="I19" s="3"/>
      <c r="J19" s="3"/>
      <c r="K19" s="3"/>
    </row>
    <row r="20" spans="1:11" ht="15" customHeight="1" x14ac:dyDescent="0.35">
      <c r="A20" s="37" t="s">
        <v>184</v>
      </c>
      <c r="B20" s="73">
        <v>400</v>
      </c>
      <c r="C20" s="113">
        <v>0.5</v>
      </c>
      <c r="D20" s="20">
        <f t="shared" si="0"/>
        <v>200</v>
      </c>
      <c r="E20" s="114">
        <f t="shared" si="1"/>
        <v>200</v>
      </c>
      <c r="F20" s="115"/>
      <c r="G20" s="3"/>
      <c r="H20" s="3"/>
      <c r="I20" s="3"/>
      <c r="J20" s="3"/>
      <c r="K20" s="3"/>
    </row>
    <row r="21" spans="1:11" ht="15" customHeight="1" x14ac:dyDescent="0.35">
      <c r="A21" s="34" t="s">
        <v>185</v>
      </c>
      <c r="B21" s="64">
        <v>500</v>
      </c>
      <c r="C21" s="110">
        <v>0.5</v>
      </c>
      <c r="D21" s="14">
        <f t="shared" si="0"/>
        <v>250</v>
      </c>
      <c r="E21" s="111">
        <f t="shared" si="1"/>
        <v>250</v>
      </c>
      <c r="F21" s="112"/>
      <c r="G21" s="3"/>
      <c r="H21" s="3"/>
      <c r="I21" s="3"/>
      <c r="J21" s="3"/>
      <c r="K21" s="3"/>
    </row>
    <row r="22" spans="1:11" ht="15" customHeight="1" x14ac:dyDescent="0.35">
      <c r="A22" s="37" t="s">
        <v>186</v>
      </c>
      <c r="B22" s="73">
        <v>800</v>
      </c>
      <c r="C22" s="113">
        <v>0.5</v>
      </c>
      <c r="D22" s="20">
        <f t="shared" si="0"/>
        <v>400</v>
      </c>
      <c r="E22" s="114">
        <f t="shared" si="1"/>
        <v>400</v>
      </c>
      <c r="F22" s="115"/>
      <c r="G22" s="3"/>
      <c r="H22" s="3"/>
      <c r="I22" s="3"/>
      <c r="J22" s="3"/>
      <c r="K22" s="3"/>
    </row>
    <row r="23" spans="1:11" ht="15" customHeight="1" x14ac:dyDescent="0.35">
      <c r="A23" s="116" t="s">
        <v>187</v>
      </c>
      <c r="B23" s="117">
        <f>SUM(B15:B22)</f>
        <v>4230</v>
      </c>
      <c r="C23" s="118"/>
      <c r="D23" s="117">
        <f>SUM(D15:D22)</f>
        <v>2115</v>
      </c>
      <c r="E23" s="117">
        <f>SUM(E15:E22)</f>
        <v>2115</v>
      </c>
      <c r="F23" s="118"/>
      <c r="G23" s="3"/>
      <c r="H23" s="3"/>
      <c r="I23" s="3"/>
      <c r="J23" s="3"/>
      <c r="K23" s="3"/>
    </row>
    <row r="24" spans="1:11" ht="1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24" customHeight="1" x14ac:dyDescent="0.35">
      <c r="A25" s="5" t="s">
        <v>188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15" customHeight="1" x14ac:dyDescent="0.35">
      <c r="A26" s="12" t="s">
        <v>71</v>
      </c>
      <c r="B26" s="12" t="s">
        <v>189</v>
      </c>
      <c r="C26" s="12" t="s">
        <v>190</v>
      </c>
      <c r="D26" s="12" t="s">
        <v>191</v>
      </c>
      <c r="E26" s="12" t="s">
        <v>192</v>
      </c>
      <c r="F26" s="12" t="s">
        <v>62</v>
      </c>
      <c r="G26" s="3"/>
      <c r="H26" s="3"/>
      <c r="I26" s="3"/>
      <c r="J26" s="3"/>
      <c r="K26" s="3"/>
    </row>
    <row r="27" spans="1:11" ht="15" customHeight="1" x14ac:dyDescent="0.35">
      <c r="A27" s="34" t="s">
        <v>193</v>
      </c>
      <c r="B27" s="14">
        <v>0</v>
      </c>
      <c r="C27" s="111">
        <v>0</v>
      </c>
      <c r="D27" s="14">
        <v>0</v>
      </c>
      <c r="E27" s="111">
        <v>0</v>
      </c>
      <c r="F27" s="112"/>
      <c r="G27" s="3"/>
      <c r="H27" s="3"/>
      <c r="I27" s="3"/>
      <c r="J27" s="3"/>
      <c r="K27" s="3"/>
    </row>
    <row r="28" spans="1:11" ht="15" customHeight="1" x14ac:dyDescent="0.35">
      <c r="A28" s="37" t="s">
        <v>194</v>
      </c>
      <c r="B28" s="20">
        <v>0</v>
      </c>
      <c r="C28" s="114">
        <v>0</v>
      </c>
      <c r="D28" s="20">
        <v>0</v>
      </c>
      <c r="E28" s="114">
        <v>0</v>
      </c>
      <c r="F28" s="115"/>
      <c r="G28" s="3"/>
      <c r="H28" s="3"/>
      <c r="I28" s="3"/>
      <c r="J28" s="3"/>
      <c r="K28" s="3"/>
    </row>
    <row r="29" spans="1:11" ht="15" customHeight="1" x14ac:dyDescent="0.35">
      <c r="A29" s="34" t="s">
        <v>195</v>
      </c>
      <c r="B29" s="14">
        <v>0</v>
      </c>
      <c r="C29" s="111">
        <v>0</v>
      </c>
      <c r="D29" s="14">
        <v>0</v>
      </c>
      <c r="E29" s="111">
        <v>0</v>
      </c>
      <c r="F29" s="112"/>
      <c r="G29" s="3"/>
      <c r="H29" s="3"/>
      <c r="I29" s="3"/>
      <c r="J29" s="3"/>
      <c r="K29" s="3"/>
    </row>
    <row r="30" spans="1:11" ht="15" customHeight="1" x14ac:dyDescent="0.35">
      <c r="A30" s="37" t="s">
        <v>196</v>
      </c>
      <c r="B30" s="20">
        <v>0</v>
      </c>
      <c r="C30" s="114">
        <v>0</v>
      </c>
      <c r="D30" s="20">
        <v>0</v>
      </c>
      <c r="E30" s="114">
        <v>0</v>
      </c>
      <c r="F30" s="115"/>
      <c r="G30" s="3"/>
      <c r="H30" s="3"/>
      <c r="I30" s="3"/>
      <c r="J30" s="3"/>
      <c r="K30" s="3"/>
    </row>
    <row r="31" spans="1:11" ht="15" customHeight="1" x14ac:dyDescent="0.35">
      <c r="A31" s="34" t="s">
        <v>22</v>
      </c>
      <c r="B31" s="14">
        <v>0</v>
      </c>
      <c r="C31" s="111">
        <v>0</v>
      </c>
      <c r="D31" s="14">
        <v>0</v>
      </c>
      <c r="E31" s="111">
        <v>0</v>
      </c>
      <c r="F31" s="112"/>
      <c r="G31" s="3"/>
      <c r="H31" s="3"/>
      <c r="I31" s="3"/>
      <c r="J31" s="3"/>
      <c r="K31" s="3"/>
    </row>
    <row r="32" spans="1:11" ht="15" customHeight="1" x14ac:dyDescent="0.35">
      <c r="A32" s="37" t="s">
        <v>197</v>
      </c>
      <c r="B32" s="20">
        <v>0</v>
      </c>
      <c r="C32" s="114">
        <v>0</v>
      </c>
      <c r="D32" s="20">
        <v>0</v>
      </c>
      <c r="E32" s="114">
        <v>0</v>
      </c>
      <c r="F32" s="115"/>
      <c r="G32" s="3"/>
      <c r="H32" s="3"/>
      <c r="I32" s="3"/>
      <c r="J32" s="3"/>
      <c r="K32" s="3"/>
    </row>
    <row r="33" spans="1:11" ht="1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6B6D4"/>
  </sheetPr>
  <dimension ref="A1:G49"/>
  <sheetViews>
    <sheetView zoomScaleNormal="100" workbookViewId="0">
      <selection sqref="A1:G1"/>
    </sheetView>
  </sheetViews>
  <sheetFormatPr baseColWidth="10" defaultColWidth="8.6328125" defaultRowHeight="14.5" x14ac:dyDescent="0.35"/>
  <cols>
    <col min="1" max="1" width="4" customWidth="1"/>
    <col min="2" max="2" width="26" customWidth="1"/>
    <col min="3" max="4" width="16" customWidth="1"/>
    <col min="5" max="5" width="14" customWidth="1"/>
    <col min="6" max="6" width="18" customWidth="1"/>
    <col min="7" max="7" width="14" customWidth="1"/>
  </cols>
  <sheetData>
    <row r="1" spans="1:7" ht="30" customHeight="1" x14ac:dyDescent="0.35">
      <c r="A1" s="170" t="s">
        <v>198</v>
      </c>
      <c r="B1" s="170"/>
      <c r="C1" s="170"/>
      <c r="D1" s="170"/>
      <c r="E1" s="170"/>
      <c r="F1" s="170"/>
      <c r="G1" s="170"/>
    </row>
    <row r="2" spans="1:7" ht="15" customHeight="1" x14ac:dyDescent="0.35">
      <c r="A2" s="172" t="s">
        <v>199</v>
      </c>
      <c r="B2" s="172"/>
      <c r="C2" s="172"/>
      <c r="D2" s="172"/>
      <c r="E2" s="172"/>
      <c r="F2" s="172"/>
      <c r="G2" s="172"/>
    </row>
    <row r="3" spans="1:7" ht="15" customHeight="1" x14ac:dyDescent="0.35">
      <c r="A3" s="3"/>
      <c r="B3" s="3"/>
      <c r="C3" s="3"/>
      <c r="D3" s="3"/>
      <c r="E3" s="3"/>
      <c r="F3" s="3"/>
      <c r="G3" s="3"/>
    </row>
    <row r="4" spans="1:7" ht="19.5" customHeight="1" x14ac:dyDescent="0.35">
      <c r="A4" s="119"/>
      <c r="B4" s="120" t="s">
        <v>200</v>
      </c>
      <c r="C4" s="119"/>
      <c r="D4" s="119"/>
      <c r="E4" s="119"/>
      <c r="F4" s="119"/>
      <c r="G4" s="119"/>
    </row>
    <row r="5" spans="1:7" ht="31.5" customHeight="1" x14ac:dyDescent="0.35">
      <c r="A5" s="119"/>
      <c r="B5" s="121">
        <f>Jan!C17</f>
        <v>1500</v>
      </c>
      <c r="C5" s="119"/>
      <c r="D5" s="119"/>
      <c r="E5" s="119"/>
      <c r="F5" s="119"/>
      <c r="G5" s="119"/>
    </row>
    <row r="6" spans="1:7" ht="15.75" customHeight="1" x14ac:dyDescent="0.35">
      <c r="A6" s="119"/>
      <c r="B6" s="122" t="s">
        <v>201</v>
      </c>
      <c r="C6" s="119"/>
      <c r="D6" s="119"/>
      <c r="E6" s="119"/>
      <c r="F6" s="119"/>
      <c r="G6" s="119"/>
    </row>
    <row r="7" spans="1:7" ht="6" customHeight="1" x14ac:dyDescent="0.35">
      <c r="A7" s="3"/>
      <c r="B7" s="3"/>
      <c r="C7" s="3"/>
      <c r="D7" s="3"/>
      <c r="E7" s="3"/>
      <c r="F7" s="3"/>
      <c r="G7" s="3"/>
    </row>
    <row r="8" spans="1:7" ht="19.5" customHeight="1" x14ac:dyDescent="0.35">
      <c r="A8" s="123"/>
      <c r="B8" s="124" t="s">
        <v>202</v>
      </c>
      <c r="C8" s="123"/>
      <c r="D8" s="123"/>
      <c r="E8" s="123"/>
      <c r="F8" s="123"/>
      <c r="G8" s="123"/>
    </row>
    <row r="9" spans="1:7" ht="31.5" customHeight="1" x14ac:dyDescent="0.35">
      <c r="A9" s="123"/>
      <c r="B9" s="125">
        <f>Jan!C18</f>
        <v>350</v>
      </c>
      <c r="C9" s="123"/>
      <c r="D9" s="123"/>
      <c r="E9" s="123"/>
      <c r="F9" s="123"/>
      <c r="G9" s="123"/>
    </row>
    <row r="10" spans="1:7" ht="15.75" customHeight="1" x14ac:dyDescent="0.35">
      <c r="A10" s="123"/>
      <c r="B10" s="126" t="s">
        <v>201</v>
      </c>
      <c r="C10" s="123"/>
      <c r="D10" s="123"/>
      <c r="E10" s="123"/>
      <c r="F10" s="123"/>
      <c r="G10" s="123"/>
    </row>
    <row r="11" spans="1:7" ht="6" customHeight="1" x14ac:dyDescent="0.35">
      <c r="A11" s="3"/>
      <c r="B11" s="3"/>
      <c r="C11" s="3"/>
      <c r="D11" s="3"/>
      <c r="E11" s="3"/>
      <c r="F11" s="3"/>
      <c r="G11" s="3"/>
    </row>
    <row r="12" spans="1:7" ht="19.5" customHeight="1" x14ac:dyDescent="0.35">
      <c r="A12" s="127"/>
      <c r="B12" s="128" t="s">
        <v>203</v>
      </c>
      <c r="C12" s="127"/>
      <c r="D12" s="127"/>
      <c r="E12" s="127"/>
      <c r="F12" s="127"/>
      <c r="G12" s="127"/>
    </row>
    <row r="13" spans="1:7" ht="31.5" customHeight="1" x14ac:dyDescent="0.35">
      <c r="A13" s="127"/>
      <c r="B13" s="129">
        <f>Jan!C19</f>
        <v>580</v>
      </c>
      <c r="C13" s="127"/>
      <c r="D13" s="127"/>
      <c r="E13" s="127"/>
      <c r="F13" s="127"/>
      <c r="G13" s="127"/>
    </row>
    <row r="14" spans="1:7" ht="15.75" customHeight="1" x14ac:dyDescent="0.35">
      <c r="A14" s="127"/>
      <c r="B14" s="130" t="s">
        <v>201</v>
      </c>
      <c r="C14" s="127"/>
      <c r="D14" s="127"/>
      <c r="E14" s="127"/>
      <c r="F14" s="127"/>
      <c r="G14" s="127"/>
    </row>
    <row r="15" spans="1:7" ht="6" customHeight="1" x14ac:dyDescent="0.35">
      <c r="A15" s="3"/>
      <c r="B15" s="3"/>
      <c r="C15" s="3"/>
      <c r="D15" s="3"/>
      <c r="E15" s="3"/>
      <c r="F15" s="3"/>
      <c r="G15" s="3"/>
    </row>
    <row r="16" spans="1:7" ht="19.5" customHeight="1" x14ac:dyDescent="0.35">
      <c r="A16" s="131"/>
      <c r="B16" s="132" t="s">
        <v>204</v>
      </c>
      <c r="C16" s="131"/>
      <c r="D16" s="131"/>
      <c r="E16" s="131"/>
      <c r="F16" s="131"/>
      <c r="G16" s="131"/>
    </row>
    <row r="17" spans="1:7" ht="31.5" customHeight="1" x14ac:dyDescent="0.35">
      <c r="A17" s="131"/>
      <c r="B17" s="133">
        <f>Jan!C20</f>
        <v>180</v>
      </c>
      <c r="C17" s="131"/>
      <c r="D17" s="131"/>
      <c r="E17" s="131"/>
      <c r="F17" s="131"/>
      <c r="G17" s="131"/>
    </row>
    <row r="18" spans="1:7" ht="15.75" customHeight="1" x14ac:dyDescent="0.35">
      <c r="A18" s="131"/>
      <c r="B18" s="134" t="s">
        <v>201</v>
      </c>
      <c r="C18" s="131"/>
      <c r="D18" s="131"/>
      <c r="E18" s="131"/>
      <c r="F18" s="131"/>
      <c r="G18" s="131"/>
    </row>
    <row r="19" spans="1:7" ht="6" customHeight="1" x14ac:dyDescent="0.35">
      <c r="A19" s="3"/>
      <c r="B19" s="3"/>
      <c r="C19" s="3"/>
      <c r="D19" s="3"/>
      <c r="E19" s="3"/>
      <c r="F19" s="3"/>
      <c r="G19" s="3"/>
    </row>
    <row r="20" spans="1:7" ht="19.5" customHeight="1" x14ac:dyDescent="0.35">
      <c r="A20" s="135"/>
      <c r="B20" s="136" t="s">
        <v>205</v>
      </c>
      <c r="C20" s="135"/>
      <c r="D20" s="135"/>
      <c r="E20" s="135"/>
      <c r="F20" s="135"/>
      <c r="G20" s="135"/>
    </row>
    <row r="21" spans="1:7" ht="31.5" customHeight="1" x14ac:dyDescent="0.35">
      <c r="A21" s="135"/>
      <c r="B21" s="137">
        <f>Jan!C23</f>
        <v>120</v>
      </c>
      <c r="C21" s="135"/>
      <c r="D21" s="135"/>
      <c r="E21" s="135"/>
      <c r="F21" s="135"/>
      <c r="G21" s="135"/>
    </row>
    <row r="22" spans="1:7" ht="15.75" customHeight="1" x14ac:dyDescent="0.35">
      <c r="A22" s="135"/>
      <c r="B22" s="138" t="s">
        <v>201</v>
      </c>
      <c r="C22" s="135"/>
      <c r="D22" s="135"/>
      <c r="E22" s="135"/>
      <c r="F22" s="135"/>
      <c r="G22" s="135"/>
    </row>
    <row r="23" spans="1:7" ht="6" customHeight="1" x14ac:dyDescent="0.35">
      <c r="A23" s="3"/>
      <c r="B23" s="3"/>
      <c r="C23" s="3"/>
      <c r="D23" s="3"/>
      <c r="E23" s="3"/>
      <c r="F23" s="3"/>
      <c r="G23" s="3"/>
    </row>
    <row r="24" spans="1:7" ht="19.5" customHeight="1" x14ac:dyDescent="0.35">
      <c r="A24" s="139"/>
      <c r="B24" s="140" t="s">
        <v>206</v>
      </c>
      <c r="C24" s="139"/>
      <c r="D24" s="139"/>
      <c r="E24" s="139"/>
      <c r="F24" s="139"/>
      <c r="G24" s="139"/>
    </row>
    <row r="25" spans="1:7" ht="31.5" customHeight="1" x14ac:dyDescent="0.35">
      <c r="A25" s="139"/>
      <c r="B25" s="141">
        <f>Jan!C22</f>
        <v>100</v>
      </c>
      <c r="C25" s="139"/>
      <c r="D25" s="139"/>
      <c r="E25" s="139"/>
      <c r="F25" s="139"/>
      <c r="G25" s="139"/>
    </row>
    <row r="26" spans="1:7" ht="15.75" customHeight="1" x14ac:dyDescent="0.35">
      <c r="A26" s="139"/>
      <c r="B26" s="142" t="s">
        <v>201</v>
      </c>
      <c r="C26" s="139"/>
      <c r="D26" s="139"/>
      <c r="E26" s="139"/>
      <c r="F26" s="139"/>
      <c r="G26" s="139"/>
    </row>
    <row r="27" spans="1:7" ht="6" customHeight="1" x14ac:dyDescent="0.35">
      <c r="A27" s="3"/>
      <c r="B27" s="3"/>
      <c r="C27" s="3"/>
      <c r="D27" s="3"/>
      <c r="E27" s="3"/>
      <c r="F27" s="3"/>
      <c r="G27" s="3"/>
    </row>
    <row r="28" spans="1:7" ht="19.5" customHeight="1" x14ac:dyDescent="0.35">
      <c r="A28" s="4"/>
      <c r="B28" s="143" t="s">
        <v>207</v>
      </c>
      <c r="C28" s="4"/>
      <c r="D28" s="4"/>
      <c r="E28" s="4"/>
      <c r="F28" s="4"/>
      <c r="G28" s="4"/>
    </row>
    <row r="29" spans="1:7" ht="31.5" customHeight="1" x14ac:dyDescent="0.35">
      <c r="A29" s="4"/>
      <c r="B29" s="144">
        <f>Jan!C26</f>
        <v>0</v>
      </c>
      <c r="C29" s="4"/>
      <c r="D29" s="4"/>
      <c r="E29" s="4"/>
      <c r="F29" s="4"/>
      <c r="G29" s="4"/>
    </row>
    <row r="30" spans="1:7" ht="15.75" customHeight="1" x14ac:dyDescent="0.35">
      <c r="A30" s="4"/>
      <c r="B30" s="145" t="s">
        <v>201</v>
      </c>
      <c r="C30" s="4"/>
      <c r="D30" s="4"/>
      <c r="E30" s="4"/>
      <c r="F30" s="4"/>
      <c r="G30" s="4"/>
    </row>
    <row r="31" spans="1:7" ht="6" customHeight="1" x14ac:dyDescent="0.35">
      <c r="A31" s="3"/>
      <c r="B31" s="3"/>
      <c r="C31" s="3"/>
      <c r="D31" s="3"/>
      <c r="E31" s="3"/>
      <c r="F31" s="3"/>
      <c r="G31" s="3"/>
    </row>
    <row r="32" spans="1:7" ht="19.5" customHeight="1" x14ac:dyDescent="0.35">
      <c r="A32" s="127"/>
      <c r="B32" s="128" t="s">
        <v>208</v>
      </c>
      <c r="C32" s="127"/>
      <c r="D32" s="127"/>
      <c r="E32" s="127"/>
      <c r="F32" s="127"/>
      <c r="G32" s="127"/>
    </row>
    <row r="33" spans="1:7" ht="31.5" customHeight="1" x14ac:dyDescent="0.35">
      <c r="A33" s="127"/>
      <c r="B33" s="129">
        <f>Jan!C18</f>
        <v>350</v>
      </c>
      <c r="C33" s="127"/>
      <c r="D33" s="127"/>
      <c r="E33" s="127"/>
      <c r="F33" s="127"/>
      <c r="G33" s="127"/>
    </row>
    <row r="34" spans="1:7" ht="15.75" customHeight="1" x14ac:dyDescent="0.35">
      <c r="A34" s="127"/>
      <c r="B34" s="130" t="s">
        <v>201</v>
      </c>
      <c r="C34" s="127"/>
      <c r="D34" s="127"/>
      <c r="E34" s="127"/>
      <c r="F34" s="127"/>
      <c r="G34" s="127"/>
    </row>
    <row r="35" spans="1:7" ht="6" customHeight="1" x14ac:dyDescent="0.35">
      <c r="A35" s="3"/>
      <c r="B35" s="3"/>
      <c r="C35" s="3"/>
      <c r="D35" s="3"/>
      <c r="E35" s="3"/>
      <c r="F35" s="3"/>
      <c r="G35" s="3"/>
    </row>
    <row r="36" spans="1:7" ht="15" customHeight="1" x14ac:dyDescent="0.35">
      <c r="A36" s="3"/>
      <c r="B36" s="3"/>
      <c r="C36" s="3"/>
      <c r="D36" s="3"/>
      <c r="E36" s="3"/>
      <c r="F36" s="3"/>
      <c r="G36" s="3"/>
    </row>
    <row r="37" spans="1:7" ht="15" customHeight="1" x14ac:dyDescent="0.35">
      <c r="A37" s="3"/>
      <c r="B37" s="3"/>
      <c r="C37" s="3"/>
      <c r="D37" s="3"/>
      <c r="E37" s="3"/>
      <c r="F37" s="3"/>
      <c r="G37" s="3"/>
    </row>
    <row r="38" spans="1:7" ht="15" customHeight="1" x14ac:dyDescent="0.35">
      <c r="A38" s="3"/>
      <c r="B38" s="3"/>
      <c r="C38" s="3"/>
      <c r="D38" s="3"/>
      <c r="E38" s="3"/>
      <c r="F38" s="3"/>
      <c r="G38" s="3"/>
    </row>
    <row r="39" spans="1:7" ht="15" customHeight="1" x14ac:dyDescent="0.35">
      <c r="A39" s="3"/>
      <c r="B39" s="3"/>
      <c r="C39" s="3"/>
      <c r="D39" s="3"/>
      <c r="E39" s="3"/>
      <c r="F39" s="3"/>
      <c r="G39" s="3"/>
    </row>
    <row r="40" spans="1:7" ht="15" customHeight="1" x14ac:dyDescent="0.35">
      <c r="A40" s="3"/>
      <c r="B40" s="3"/>
      <c r="C40" s="3"/>
      <c r="D40" s="3"/>
      <c r="E40" s="3"/>
      <c r="F40" s="3"/>
      <c r="G40" s="3"/>
    </row>
    <row r="41" spans="1:7" ht="15" customHeight="1" x14ac:dyDescent="0.35">
      <c r="A41" s="3"/>
      <c r="B41" s="3"/>
      <c r="C41" s="3"/>
      <c r="D41" s="3"/>
      <c r="E41" s="3"/>
      <c r="F41" s="3"/>
      <c r="G41" s="3"/>
    </row>
    <row r="42" spans="1:7" ht="15" customHeight="1" x14ac:dyDescent="0.35">
      <c r="A42" s="3"/>
      <c r="B42" s="3"/>
      <c r="C42" s="3"/>
      <c r="D42" s="3"/>
      <c r="E42" s="3"/>
      <c r="F42" s="3"/>
      <c r="G42" s="3"/>
    </row>
    <row r="43" spans="1:7" ht="15" customHeight="1" x14ac:dyDescent="0.35">
      <c r="A43" s="3"/>
      <c r="B43" s="3"/>
      <c r="C43" s="3"/>
      <c r="D43" s="3"/>
      <c r="E43" s="3"/>
      <c r="F43" s="3"/>
      <c r="G43" s="3"/>
    </row>
    <row r="44" spans="1:7" ht="15" customHeight="1" x14ac:dyDescent="0.35">
      <c r="A44" s="3"/>
      <c r="B44" s="3"/>
      <c r="C44" s="3"/>
      <c r="D44" s="3"/>
      <c r="E44" s="3"/>
      <c r="F44" s="3"/>
      <c r="G44" s="3"/>
    </row>
    <row r="45" spans="1:7" ht="15" customHeight="1" x14ac:dyDescent="0.35">
      <c r="A45" s="3"/>
      <c r="B45" s="3"/>
      <c r="C45" s="3"/>
      <c r="D45" s="3"/>
      <c r="E45" s="3"/>
      <c r="F45" s="3"/>
      <c r="G45" s="3"/>
    </row>
    <row r="46" spans="1:7" ht="15" customHeight="1" x14ac:dyDescent="0.35">
      <c r="A46" s="3"/>
      <c r="B46" s="3"/>
      <c r="C46" s="3"/>
      <c r="D46" s="3"/>
      <c r="E46" s="3"/>
      <c r="F46" s="3"/>
      <c r="G46" s="3"/>
    </row>
    <row r="47" spans="1:7" ht="15" customHeight="1" x14ac:dyDescent="0.35">
      <c r="A47" s="3"/>
      <c r="B47" s="3"/>
      <c r="C47" s="3"/>
      <c r="D47" s="3"/>
      <c r="E47" s="3"/>
      <c r="F47" s="3"/>
      <c r="G47" s="3"/>
    </row>
    <row r="48" spans="1:7" ht="15" customHeight="1" x14ac:dyDescent="0.35">
      <c r="A48" s="3"/>
      <c r="B48" s="3"/>
      <c r="C48" s="3"/>
      <c r="D48" s="3"/>
      <c r="E48" s="3"/>
      <c r="F48" s="3"/>
      <c r="G48" s="3"/>
    </row>
    <row r="49" spans="1:7" ht="15" customHeight="1" x14ac:dyDescent="0.35">
      <c r="A49" s="3"/>
      <c r="B49" s="3"/>
      <c r="C49" s="3"/>
      <c r="D49" s="3"/>
      <c r="E49" s="3"/>
      <c r="F49" s="3"/>
      <c r="G49" s="3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C3AED"/>
  </sheetPr>
  <dimension ref="A1:H39"/>
  <sheetViews>
    <sheetView zoomScaleNormal="100" workbookViewId="0">
      <selection sqref="A1:H1"/>
    </sheetView>
  </sheetViews>
  <sheetFormatPr baseColWidth="10" defaultColWidth="8.6328125" defaultRowHeight="14.5" x14ac:dyDescent="0.35"/>
  <cols>
    <col min="1" max="1" width="22" customWidth="1"/>
    <col min="2" max="8" width="14" customWidth="1"/>
  </cols>
  <sheetData>
    <row r="1" spans="1:8" ht="27.75" customHeight="1" x14ac:dyDescent="0.35">
      <c r="A1" s="180" t="s">
        <v>209</v>
      </c>
      <c r="B1" s="180"/>
      <c r="C1" s="180"/>
      <c r="D1" s="180"/>
      <c r="E1" s="180"/>
      <c r="F1" s="180"/>
      <c r="G1" s="180"/>
      <c r="H1" s="180"/>
    </row>
    <row r="2" spans="1:8" ht="15" customHeight="1" x14ac:dyDescent="0.35">
      <c r="A2" s="3"/>
      <c r="B2" s="3"/>
      <c r="C2" s="3"/>
      <c r="D2" s="3"/>
      <c r="E2" s="3"/>
      <c r="F2" s="3"/>
      <c r="G2" s="3"/>
      <c r="H2" s="3"/>
    </row>
    <row r="3" spans="1:8" ht="15" customHeight="1" x14ac:dyDescent="0.35">
      <c r="A3" s="12" t="s">
        <v>210</v>
      </c>
      <c r="B3" s="12" t="s">
        <v>211</v>
      </c>
      <c r="C3" s="12" t="s">
        <v>212</v>
      </c>
      <c r="D3" s="12" t="s">
        <v>71</v>
      </c>
      <c r="E3" s="12" t="s">
        <v>213</v>
      </c>
      <c r="F3" s="12" t="s">
        <v>214</v>
      </c>
      <c r="G3" s="12" t="s">
        <v>215</v>
      </c>
      <c r="H3" s="12" t="s">
        <v>62</v>
      </c>
    </row>
    <row r="4" spans="1:8" ht="15" customHeight="1" x14ac:dyDescent="0.35">
      <c r="A4" s="61" t="s">
        <v>90</v>
      </c>
      <c r="B4" s="146">
        <v>17.989999999999998</v>
      </c>
      <c r="C4" s="147">
        <f t="shared" ref="C4:C13" si="0">B4*12</f>
        <v>215.88</v>
      </c>
      <c r="D4" s="148" t="s">
        <v>216</v>
      </c>
      <c r="E4" s="67"/>
      <c r="F4" s="82" t="s">
        <v>81</v>
      </c>
      <c r="G4" s="149" t="s">
        <v>217</v>
      </c>
      <c r="H4" s="150"/>
    </row>
    <row r="5" spans="1:8" ht="15" customHeight="1" x14ac:dyDescent="0.35">
      <c r="A5" s="70" t="s">
        <v>91</v>
      </c>
      <c r="B5" s="151">
        <v>11.99</v>
      </c>
      <c r="C5" s="152">
        <f t="shared" si="0"/>
        <v>143.88</v>
      </c>
      <c r="D5" s="153" t="s">
        <v>218</v>
      </c>
      <c r="E5" s="76"/>
      <c r="F5" s="85" t="s">
        <v>81</v>
      </c>
      <c r="G5" s="154" t="s">
        <v>217</v>
      </c>
      <c r="H5" s="155"/>
    </row>
    <row r="6" spans="1:8" ht="15" customHeight="1" x14ac:dyDescent="0.35">
      <c r="A6" s="61" t="s">
        <v>219</v>
      </c>
      <c r="B6" s="146">
        <v>14.99</v>
      </c>
      <c r="C6" s="147">
        <f t="shared" si="0"/>
        <v>179.88</v>
      </c>
      <c r="D6" s="148" t="s">
        <v>220</v>
      </c>
      <c r="E6" s="67"/>
      <c r="F6" s="82" t="s">
        <v>81</v>
      </c>
      <c r="G6" s="149" t="s">
        <v>217</v>
      </c>
      <c r="H6" s="150"/>
    </row>
    <row r="7" spans="1:8" ht="15" customHeight="1" x14ac:dyDescent="0.35">
      <c r="A7" s="70" t="s">
        <v>221</v>
      </c>
      <c r="B7" s="151">
        <v>13.99</v>
      </c>
      <c r="C7" s="152">
        <f t="shared" si="0"/>
        <v>167.88</v>
      </c>
      <c r="D7" s="153" t="s">
        <v>222</v>
      </c>
      <c r="E7" s="76"/>
      <c r="F7" s="85" t="s">
        <v>81</v>
      </c>
      <c r="G7" s="154" t="s">
        <v>217</v>
      </c>
      <c r="H7" s="155"/>
    </row>
    <row r="8" spans="1:8" ht="15" customHeight="1" x14ac:dyDescent="0.35">
      <c r="A8" s="61" t="s">
        <v>223</v>
      </c>
      <c r="B8" s="146">
        <v>2.99</v>
      </c>
      <c r="C8" s="147">
        <f t="shared" si="0"/>
        <v>35.880000000000003</v>
      </c>
      <c r="D8" s="148" t="s">
        <v>224</v>
      </c>
      <c r="E8" s="67"/>
      <c r="F8" s="82" t="s">
        <v>81</v>
      </c>
      <c r="G8" s="149" t="s">
        <v>217</v>
      </c>
      <c r="H8" s="150"/>
    </row>
    <row r="9" spans="1:8" ht="15" customHeight="1" x14ac:dyDescent="0.35">
      <c r="A9" s="70" t="s">
        <v>225</v>
      </c>
      <c r="B9" s="151">
        <v>54.99</v>
      </c>
      <c r="C9" s="152">
        <f t="shared" si="0"/>
        <v>659.88</v>
      </c>
      <c r="D9" s="153" t="s">
        <v>226</v>
      </c>
      <c r="E9" s="76"/>
      <c r="F9" s="85" t="s">
        <v>81</v>
      </c>
      <c r="G9" s="154" t="s">
        <v>217</v>
      </c>
      <c r="H9" s="155"/>
    </row>
    <row r="10" spans="1:8" ht="15" customHeight="1" x14ac:dyDescent="0.35">
      <c r="A10" s="61" t="s">
        <v>227</v>
      </c>
      <c r="B10" s="146">
        <v>20</v>
      </c>
      <c r="C10" s="147">
        <f t="shared" si="0"/>
        <v>240</v>
      </c>
      <c r="D10" s="148" t="s">
        <v>228</v>
      </c>
      <c r="E10" s="67"/>
      <c r="F10" s="82" t="s">
        <v>81</v>
      </c>
      <c r="G10" s="149" t="s">
        <v>217</v>
      </c>
      <c r="H10" s="150"/>
    </row>
    <row r="11" spans="1:8" ht="15" customHeight="1" x14ac:dyDescent="0.35">
      <c r="A11" s="70" t="s">
        <v>229</v>
      </c>
      <c r="B11" s="151">
        <v>40</v>
      </c>
      <c r="C11" s="152">
        <f t="shared" si="0"/>
        <v>480</v>
      </c>
      <c r="D11" s="153" t="s">
        <v>230</v>
      </c>
      <c r="E11" s="76"/>
      <c r="F11" s="85" t="s">
        <v>81</v>
      </c>
      <c r="G11" s="154" t="s">
        <v>217</v>
      </c>
      <c r="H11" s="155"/>
    </row>
    <row r="12" spans="1:8" ht="15" customHeight="1" x14ac:dyDescent="0.35">
      <c r="A12" s="61" t="s">
        <v>231</v>
      </c>
      <c r="B12" s="146">
        <v>17.989999999999998</v>
      </c>
      <c r="C12" s="147">
        <f t="shared" si="0"/>
        <v>215.88</v>
      </c>
      <c r="D12" s="148" t="s">
        <v>216</v>
      </c>
      <c r="E12" s="67"/>
      <c r="F12" s="82" t="s">
        <v>81</v>
      </c>
      <c r="G12" s="149" t="s">
        <v>217</v>
      </c>
      <c r="H12" s="150"/>
    </row>
    <row r="13" spans="1:8" ht="15" customHeight="1" x14ac:dyDescent="0.35">
      <c r="A13" s="70" t="s">
        <v>232</v>
      </c>
      <c r="B13" s="151">
        <v>13.99</v>
      </c>
      <c r="C13" s="152">
        <f t="shared" si="0"/>
        <v>167.88</v>
      </c>
      <c r="D13" s="153" t="s">
        <v>216</v>
      </c>
      <c r="E13" s="76"/>
      <c r="F13" s="85" t="s">
        <v>81</v>
      </c>
      <c r="G13" s="154" t="s">
        <v>217</v>
      </c>
      <c r="H13" s="155"/>
    </row>
    <row r="14" spans="1:8" ht="15" customHeight="1" x14ac:dyDescent="0.35">
      <c r="A14" s="13" t="s">
        <v>233</v>
      </c>
      <c r="B14" s="156">
        <f>SUM(B4:B13)</f>
        <v>208.92000000000002</v>
      </c>
      <c r="C14" s="156">
        <f>SUM(C4:C13)</f>
        <v>2507.04</v>
      </c>
      <c r="D14" s="3"/>
      <c r="E14" s="3"/>
      <c r="F14" s="3"/>
      <c r="G14" s="3"/>
      <c r="H14" s="3"/>
    </row>
    <row r="15" spans="1:8" ht="15" customHeight="1" x14ac:dyDescent="0.35">
      <c r="A15" s="3"/>
      <c r="B15" s="3"/>
      <c r="C15" s="3"/>
      <c r="D15" s="3"/>
      <c r="E15" s="3"/>
      <c r="F15" s="3"/>
      <c r="G15" s="3"/>
      <c r="H15" s="3"/>
    </row>
    <row r="16" spans="1:8" ht="15" customHeight="1" x14ac:dyDescent="0.35">
      <c r="A16" s="3"/>
      <c r="B16" s="3"/>
      <c r="C16" s="3"/>
      <c r="D16" s="3"/>
      <c r="E16" s="3"/>
      <c r="F16" s="3"/>
      <c r="G16" s="3"/>
      <c r="H16" s="3"/>
    </row>
    <row r="17" spans="1:8" ht="15" customHeight="1" x14ac:dyDescent="0.35">
      <c r="A17" s="3"/>
      <c r="B17" s="3"/>
      <c r="C17" s="3"/>
      <c r="D17" s="3"/>
      <c r="E17" s="3"/>
      <c r="F17" s="3"/>
      <c r="G17" s="3"/>
      <c r="H17" s="3"/>
    </row>
    <row r="18" spans="1:8" ht="15" customHeight="1" x14ac:dyDescent="0.35">
      <c r="A18" s="3"/>
      <c r="B18" s="3"/>
      <c r="C18" s="3"/>
      <c r="D18" s="3"/>
      <c r="E18" s="3"/>
      <c r="F18" s="3"/>
      <c r="G18" s="3"/>
      <c r="H18" s="3"/>
    </row>
    <row r="19" spans="1:8" ht="15" customHeight="1" x14ac:dyDescent="0.35">
      <c r="A19" s="3"/>
      <c r="B19" s="3"/>
      <c r="C19" s="3"/>
      <c r="D19" s="3"/>
      <c r="E19" s="3"/>
      <c r="F19" s="3"/>
      <c r="G19" s="3"/>
      <c r="H19" s="3"/>
    </row>
    <row r="20" spans="1:8" ht="15" customHeight="1" x14ac:dyDescent="0.35">
      <c r="A20" s="3"/>
      <c r="B20" s="3"/>
      <c r="C20" s="3"/>
      <c r="D20" s="3"/>
      <c r="E20" s="3"/>
      <c r="F20" s="3"/>
      <c r="G20" s="3"/>
      <c r="H20" s="3"/>
    </row>
    <row r="21" spans="1:8" ht="15" customHeight="1" x14ac:dyDescent="0.35">
      <c r="A21" s="3"/>
      <c r="B21" s="3"/>
      <c r="C21" s="3"/>
      <c r="D21" s="3"/>
      <c r="E21" s="3"/>
      <c r="F21" s="3"/>
      <c r="G21" s="3"/>
      <c r="H21" s="3"/>
    </row>
    <row r="22" spans="1:8" ht="15" customHeight="1" x14ac:dyDescent="0.35">
      <c r="A22" s="3"/>
      <c r="B22" s="3"/>
      <c r="C22" s="3"/>
      <c r="D22" s="3"/>
      <c r="E22" s="3"/>
      <c r="F22" s="3"/>
      <c r="G22" s="3"/>
      <c r="H22" s="3"/>
    </row>
    <row r="23" spans="1:8" ht="15" customHeight="1" x14ac:dyDescent="0.35">
      <c r="A23" s="3"/>
      <c r="B23" s="3"/>
      <c r="C23" s="3"/>
      <c r="D23" s="3"/>
      <c r="E23" s="3"/>
      <c r="F23" s="3"/>
      <c r="G23" s="3"/>
      <c r="H23" s="3"/>
    </row>
    <row r="24" spans="1:8" ht="15" customHeight="1" x14ac:dyDescent="0.35">
      <c r="A24" s="3"/>
      <c r="B24" s="3"/>
      <c r="C24" s="3"/>
      <c r="D24" s="3"/>
      <c r="E24" s="3"/>
      <c r="F24" s="3"/>
      <c r="G24" s="3"/>
      <c r="H24" s="3"/>
    </row>
    <row r="25" spans="1:8" ht="15" customHeight="1" x14ac:dyDescent="0.35">
      <c r="A25" s="3"/>
      <c r="B25" s="3"/>
      <c r="C25" s="3"/>
      <c r="D25" s="3"/>
      <c r="E25" s="3"/>
      <c r="F25" s="3"/>
      <c r="G25" s="3"/>
      <c r="H25" s="3"/>
    </row>
    <row r="26" spans="1:8" ht="15" customHeight="1" x14ac:dyDescent="0.35">
      <c r="A26" s="3"/>
      <c r="B26" s="3"/>
      <c r="C26" s="3"/>
      <c r="D26" s="3"/>
      <c r="E26" s="3"/>
      <c r="F26" s="3"/>
      <c r="G26" s="3"/>
      <c r="H26" s="3"/>
    </row>
    <row r="27" spans="1:8" ht="15" customHeight="1" x14ac:dyDescent="0.35">
      <c r="A27" s="3"/>
      <c r="B27" s="3"/>
      <c r="C27" s="3"/>
      <c r="D27" s="3"/>
      <c r="E27" s="3"/>
      <c r="F27" s="3"/>
      <c r="G27" s="3"/>
      <c r="H27" s="3"/>
    </row>
    <row r="28" spans="1:8" ht="15" customHeight="1" x14ac:dyDescent="0.35">
      <c r="A28" s="3"/>
      <c r="B28" s="3"/>
      <c r="C28" s="3"/>
      <c r="D28" s="3"/>
      <c r="E28" s="3"/>
      <c r="F28" s="3"/>
      <c r="G28" s="3"/>
      <c r="H28" s="3"/>
    </row>
    <row r="29" spans="1:8" ht="15" customHeight="1" x14ac:dyDescent="0.35">
      <c r="A29" s="3"/>
      <c r="B29" s="3"/>
      <c r="C29" s="3"/>
      <c r="D29" s="3"/>
      <c r="E29" s="3"/>
      <c r="F29" s="3"/>
      <c r="G29" s="3"/>
      <c r="H29" s="3"/>
    </row>
    <row r="30" spans="1:8" ht="15" customHeight="1" x14ac:dyDescent="0.35">
      <c r="A30" s="3"/>
      <c r="B30" s="3"/>
      <c r="C30" s="3"/>
      <c r="D30" s="3"/>
      <c r="E30" s="3"/>
      <c r="F30" s="3"/>
      <c r="G30" s="3"/>
      <c r="H30" s="3"/>
    </row>
    <row r="31" spans="1:8" ht="15" customHeight="1" x14ac:dyDescent="0.35">
      <c r="A31" s="3"/>
      <c r="B31" s="3"/>
      <c r="C31" s="3"/>
      <c r="D31" s="3"/>
      <c r="E31" s="3"/>
      <c r="F31" s="3"/>
      <c r="G31" s="3"/>
      <c r="H31" s="3"/>
    </row>
    <row r="32" spans="1:8" ht="15" customHeight="1" x14ac:dyDescent="0.35">
      <c r="A32" s="3"/>
      <c r="B32" s="3"/>
      <c r="C32" s="3"/>
      <c r="D32" s="3"/>
      <c r="E32" s="3"/>
      <c r="F32" s="3"/>
      <c r="G32" s="3"/>
      <c r="H32" s="3"/>
    </row>
    <row r="33" spans="1:8" ht="15" customHeight="1" x14ac:dyDescent="0.35">
      <c r="A33" s="3"/>
      <c r="B33" s="3"/>
      <c r="C33" s="3"/>
      <c r="D33" s="3"/>
      <c r="E33" s="3"/>
      <c r="F33" s="3"/>
      <c r="G33" s="3"/>
      <c r="H33" s="3"/>
    </row>
    <row r="34" spans="1:8" ht="15" customHeight="1" x14ac:dyDescent="0.35">
      <c r="A34" s="3"/>
      <c r="B34" s="3"/>
      <c r="C34" s="3"/>
      <c r="D34" s="3"/>
      <c r="E34" s="3"/>
      <c r="F34" s="3"/>
      <c r="G34" s="3"/>
      <c r="H34" s="3"/>
    </row>
    <row r="35" spans="1:8" ht="15" customHeight="1" x14ac:dyDescent="0.35">
      <c r="A35" s="3"/>
      <c r="B35" s="3"/>
      <c r="C35" s="3"/>
      <c r="D35" s="3"/>
      <c r="E35" s="3"/>
      <c r="F35" s="3"/>
      <c r="G35" s="3"/>
      <c r="H35" s="3"/>
    </row>
    <row r="36" spans="1:8" ht="15" customHeight="1" x14ac:dyDescent="0.35">
      <c r="A36" s="3"/>
      <c r="B36" s="3"/>
      <c r="C36" s="3"/>
      <c r="D36" s="3"/>
      <c r="E36" s="3"/>
      <c r="F36" s="3"/>
      <c r="G36" s="3"/>
      <c r="H36" s="3"/>
    </row>
    <row r="37" spans="1:8" ht="15" customHeight="1" x14ac:dyDescent="0.35">
      <c r="A37" s="3"/>
      <c r="B37" s="3"/>
      <c r="C37" s="3"/>
      <c r="D37" s="3"/>
      <c r="E37" s="3"/>
      <c r="F37" s="3"/>
      <c r="G37" s="3"/>
      <c r="H37" s="3"/>
    </row>
    <row r="38" spans="1:8" ht="15" customHeight="1" x14ac:dyDescent="0.35">
      <c r="A38" s="3"/>
      <c r="B38" s="3"/>
      <c r="C38" s="3"/>
      <c r="D38" s="3"/>
      <c r="E38" s="3"/>
      <c r="F38" s="3"/>
      <c r="G38" s="3"/>
      <c r="H38" s="3"/>
    </row>
    <row r="39" spans="1:8" ht="15" customHeight="1" x14ac:dyDescent="0.35">
      <c r="A39" s="3"/>
      <c r="B39" s="3"/>
      <c r="C39" s="3"/>
      <c r="D39" s="3"/>
      <c r="E39" s="3"/>
      <c r="F39" s="3"/>
      <c r="G39" s="3"/>
      <c r="H39" s="3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0B981"/>
  </sheetPr>
  <dimension ref="A1:H59"/>
  <sheetViews>
    <sheetView zoomScaleNormal="100" workbookViewId="0">
      <selection sqref="A1:H1"/>
    </sheetView>
  </sheetViews>
  <sheetFormatPr baseColWidth="10" defaultColWidth="8.6328125" defaultRowHeight="14.5" x14ac:dyDescent="0.35"/>
  <cols>
    <col min="1" max="1" width="14" customWidth="1"/>
    <col min="2" max="2" width="24" customWidth="1"/>
    <col min="3" max="3" width="14" customWidth="1"/>
    <col min="4" max="4" width="18" customWidth="1"/>
    <col min="5" max="7" width="14" customWidth="1"/>
    <col min="8" max="8" width="16" customWidth="1"/>
  </cols>
  <sheetData>
    <row r="1" spans="1:8" ht="30" customHeight="1" x14ac:dyDescent="0.35">
      <c r="A1" s="170" t="s">
        <v>234</v>
      </c>
      <c r="B1" s="170"/>
      <c r="C1" s="170"/>
      <c r="D1" s="170"/>
      <c r="E1" s="170"/>
      <c r="F1" s="170"/>
      <c r="G1" s="170"/>
      <c r="H1" s="170"/>
    </row>
    <row r="2" spans="1:8" ht="15" customHeight="1" x14ac:dyDescent="0.35">
      <c r="A2" s="3"/>
      <c r="B2" s="3"/>
      <c r="C2" s="3"/>
      <c r="D2" s="3"/>
      <c r="E2" s="3"/>
      <c r="F2" s="3"/>
      <c r="G2" s="3"/>
      <c r="H2" s="3"/>
    </row>
    <row r="3" spans="1:8" ht="15" customHeight="1" x14ac:dyDescent="0.35">
      <c r="A3" s="79" t="s">
        <v>235</v>
      </c>
      <c r="B3" s="79" t="s">
        <v>236</v>
      </c>
      <c r="C3" s="79" t="s">
        <v>63</v>
      </c>
      <c r="D3" s="79" t="s">
        <v>71</v>
      </c>
      <c r="E3" s="79" t="s">
        <v>237</v>
      </c>
      <c r="F3" s="79" t="s">
        <v>238</v>
      </c>
      <c r="G3" s="79" t="s">
        <v>37</v>
      </c>
      <c r="H3" s="79" t="s">
        <v>62</v>
      </c>
    </row>
    <row r="4" spans="1:8" ht="15" customHeight="1" x14ac:dyDescent="0.35">
      <c r="A4" s="67" t="s">
        <v>239</v>
      </c>
      <c r="B4" s="61" t="s">
        <v>66</v>
      </c>
      <c r="C4" s="14">
        <v>4500</v>
      </c>
      <c r="D4" s="148" t="s">
        <v>240</v>
      </c>
      <c r="E4" s="157" t="s">
        <v>81</v>
      </c>
      <c r="F4" s="14">
        <f t="shared" ref="F4:F9" si="0">IF(E4="Yes",C4*(1-0.25),C4)</f>
        <v>3375</v>
      </c>
      <c r="G4" s="148" t="str">
        <f t="shared" ref="G4:G9" si="1">IFERROR(TEXT(A4,"mmm"),"")</f>
        <v>01/15/2025</v>
      </c>
      <c r="H4" s="150"/>
    </row>
    <row r="5" spans="1:8" ht="15" customHeight="1" x14ac:dyDescent="0.35">
      <c r="A5" s="76" t="s">
        <v>241</v>
      </c>
      <c r="B5" s="70" t="s">
        <v>66</v>
      </c>
      <c r="C5" s="20">
        <v>4500</v>
      </c>
      <c r="D5" s="153" t="s">
        <v>240</v>
      </c>
      <c r="E5" s="158" t="s">
        <v>81</v>
      </c>
      <c r="F5" s="20">
        <f t="shared" si="0"/>
        <v>3375</v>
      </c>
      <c r="G5" s="153" t="str">
        <f t="shared" si="1"/>
        <v>01/29/2025</v>
      </c>
      <c r="H5" s="155"/>
    </row>
    <row r="6" spans="1:8" ht="15" customHeight="1" x14ac:dyDescent="0.35">
      <c r="A6" s="67" t="s">
        <v>242</v>
      </c>
      <c r="B6" s="61" t="s">
        <v>243</v>
      </c>
      <c r="C6" s="14">
        <v>800</v>
      </c>
      <c r="D6" s="148" t="s">
        <v>244</v>
      </c>
      <c r="E6" s="157" t="s">
        <v>81</v>
      </c>
      <c r="F6" s="14">
        <f t="shared" si="0"/>
        <v>600</v>
      </c>
      <c r="G6" s="148" t="str">
        <f t="shared" si="1"/>
        <v>oct</v>
      </c>
      <c r="H6" s="150"/>
    </row>
    <row r="7" spans="1:8" ht="15" customHeight="1" x14ac:dyDescent="0.35">
      <c r="A7" s="76" t="s">
        <v>245</v>
      </c>
      <c r="B7" s="70" t="s">
        <v>66</v>
      </c>
      <c r="C7" s="20">
        <v>4500</v>
      </c>
      <c r="D7" s="153" t="s">
        <v>240</v>
      </c>
      <c r="E7" s="158" t="s">
        <v>81</v>
      </c>
      <c r="F7" s="20">
        <f t="shared" si="0"/>
        <v>3375</v>
      </c>
      <c r="G7" s="153" t="str">
        <f t="shared" si="1"/>
        <v>02/15/2025</v>
      </c>
      <c r="H7" s="155"/>
    </row>
    <row r="8" spans="1:8" ht="15" customHeight="1" x14ac:dyDescent="0.35">
      <c r="A8" s="67" t="s">
        <v>246</v>
      </c>
      <c r="B8" s="61" t="s">
        <v>66</v>
      </c>
      <c r="C8" s="14">
        <v>4500</v>
      </c>
      <c r="D8" s="148" t="s">
        <v>240</v>
      </c>
      <c r="E8" s="157" t="s">
        <v>81</v>
      </c>
      <c r="F8" s="14">
        <f t="shared" si="0"/>
        <v>3375</v>
      </c>
      <c r="G8" s="148" t="str">
        <f t="shared" si="1"/>
        <v>02/28/2025</v>
      </c>
      <c r="H8" s="150"/>
    </row>
    <row r="9" spans="1:8" ht="15" customHeight="1" x14ac:dyDescent="0.35">
      <c r="A9" s="76" t="s">
        <v>247</v>
      </c>
      <c r="B9" s="70" t="s">
        <v>248</v>
      </c>
      <c r="C9" s="20">
        <v>1200</v>
      </c>
      <c r="D9" s="153" t="s">
        <v>249</v>
      </c>
      <c r="E9" s="158" t="s">
        <v>81</v>
      </c>
      <c r="F9" s="20">
        <f t="shared" si="0"/>
        <v>900</v>
      </c>
      <c r="G9" s="153" t="str">
        <f t="shared" si="1"/>
        <v>02/20/2025</v>
      </c>
      <c r="H9" s="155"/>
    </row>
    <row r="10" spans="1:8" ht="15" customHeight="1" x14ac:dyDescent="0.35">
      <c r="A10" s="3"/>
      <c r="B10" s="3"/>
      <c r="C10" s="3"/>
      <c r="D10" s="3"/>
      <c r="E10" s="3"/>
      <c r="F10" s="3"/>
      <c r="G10" s="3"/>
      <c r="H10" s="3"/>
    </row>
    <row r="11" spans="1:8" ht="15" customHeight="1" x14ac:dyDescent="0.35">
      <c r="A11" s="3"/>
      <c r="B11" s="3"/>
      <c r="C11" s="3"/>
      <c r="D11" s="3"/>
      <c r="E11" s="3"/>
      <c r="F11" s="3"/>
      <c r="G11" s="3"/>
      <c r="H11" s="3"/>
    </row>
    <row r="12" spans="1:8" ht="15" customHeight="1" x14ac:dyDescent="0.35">
      <c r="A12" s="3"/>
      <c r="B12" s="3"/>
      <c r="C12" s="3"/>
      <c r="D12" s="3"/>
      <c r="E12" s="3"/>
      <c r="F12" s="3"/>
      <c r="G12" s="3"/>
      <c r="H12" s="3"/>
    </row>
    <row r="13" spans="1:8" ht="15" customHeight="1" x14ac:dyDescent="0.35">
      <c r="A13" s="3"/>
      <c r="B13" s="3"/>
      <c r="C13" s="3"/>
      <c r="D13" s="3"/>
      <c r="E13" s="3"/>
      <c r="F13" s="3"/>
      <c r="G13" s="3"/>
      <c r="H13" s="3"/>
    </row>
    <row r="14" spans="1:8" ht="15" customHeight="1" x14ac:dyDescent="0.35">
      <c r="A14" s="3"/>
      <c r="B14" s="3"/>
      <c r="C14" s="3"/>
      <c r="D14" s="3"/>
      <c r="E14" s="3"/>
      <c r="F14" s="3"/>
      <c r="G14" s="3"/>
      <c r="H14" s="3"/>
    </row>
    <row r="15" spans="1:8" ht="15" customHeight="1" x14ac:dyDescent="0.35">
      <c r="A15" s="3"/>
      <c r="B15" s="3"/>
      <c r="C15" s="3"/>
      <c r="D15" s="3"/>
      <c r="E15" s="3"/>
      <c r="F15" s="3"/>
      <c r="G15" s="3"/>
      <c r="H15" s="3"/>
    </row>
    <row r="16" spans="1:8" ht="15" customHeight="1" x14ac:dyDescent="0.35">
      <c r="A16" s="3"/>
      <c r="B16" s="3"/>
      <c r="C16" s="3"/>
      <c r="D16" s="3"/>
      <c r="E16" s="3"/>
      <c r="F16" s="3"/>
      <c r="G16" s="3"/>
      <c r="H16" s="3"/>
    </row>
    <row r="17" spans="1:8" ht="15" customHeight="1" x14ac:dyDescent="0.35">
      <c r="A17" s="3"/>
      <c r="B17" s="3"/>
      <c r="C17" s="3"/>
      <c r="D17" s="3"/>
      <c r="E17" s="3"/>
      <c r="F17" s="3"/>
      <c r="G17" s="3"/>
      <c r="H17" s="3"/>
    </row>
    <row r="18" spans="1:8" ht="15" customHeight="1" x14ac:dyDescent="0.35">
      <c r="A18" s="3"/>
      <c r="B18" s="3"/>
      <c r="C18" s="3"/>
      <c r="D18" s="3"/>
      <c r="E18" s="3"/>
      <c r="F18" s="3"/>
      <c r="G18" s="3"/>
      <c r="H18" s="3"/>
    </row>
    <row r="19" spans="1:8" ht="15" customHeight="1" x14ac:dyDescent="0.35">
      <c r="A19" s="3"/>
      <c r="B19" s="3"/>
      <c r="C19" s="3"/>
      <c r="D19" s="3"/>
      <c r="E19" s="3"/>
      <c r="F19" s="3"/>
      <c r="G19" s="3"/>
      <c r="H19" s="3"/>
    </row>
    <row r="20" spans="1:8" ht="15" customHeight="1" x14ac:dyDescent="0.35">
      <c r="A20" s="3"/>
      <c r="B20" s="3"/>
      <c r="C20" s="3"/>
      <c r="D20" s="3"/>
      <c r="E20" s="3"/>
      <c r="F20" s="3"/>
      <c r="G20" s="3"/>
      <c r="H20" s="3"/>
    </row>
    <row r="21" spans="1:8" ht="15" customHeight="1" x14ac:dyDescent="0.35">
      <c r="A21" s="3"/>
      <c r="B21" s="3"/>
      <c r="C21" s="3"/>
      <c r="D21" s="3"/>
      <c r="E21" s="3"/>
      <c r="F21" s="3"/>
      <c r="G21" s="3"/>
      <c r="H21" s="3"/>
    </row>
    <row r="22" spans="1:8" ht="15" customHeight="1" x14ac:dyDescent="0.35">
      <c r="A22" s="3"/>
      <c r="B22" s="3"/>
      <c r="C22" s="3"/>
      <c r="D22" s="3"/>
      <c r="E22" s="3"/>
      <c r="F22" s="3"/>
      <c r="G22" s="3"/>
      <c r="H22" s="3"/>
    </row>
    <row r="23" spans="1:8" ht="15" customHeight="1" x14ac:dyDescent="0.35">
      <c r="A23" s="3"/>
      <c r="B23" s="3"/>
      <c r="C23" s="3"/>
      <c r="D23" s="3"/>
      <c r="E23" s="3"/>
      <c r="F23" s="3"/>
      <c r="G23" s="3"/>
      <c r="H23" s="3"/>
    </row>
    <row r="24" spans="1:8" ht="15" customHeight="1" x14ac:dyDescent="0.35">
      <c r="A24" s="3"/>
      <c r="B24" s="3"/>
      <c r="C24" s="3"/>
      <c r="D24" s="3"/>
      <c r="E24" s="3"/>
      <c r="F24" s="3"/>
      <c r="G24" s="3"/>
      <c r="H24" s="3"/>
    </row>
    <row r="25" spans="1:8" ht="15" customHeight="1" x14ac:dyDescent="0.35">
      <c r="A25" s="3"/>
      <c r="B25" s="3"/>
      <c r="C25" s="3"/>
      <c r="D25" s="3"/>
      <c r="E25" s="3"/>
      <c r="F25" s="3"/>
      <c r="G25" s="3"/>
      <c r="H25" s="3"/>
    </row>
    <row r="26" spans="1:8" ht="15" customHeight="1" x14ac:dyDescent="0.35">
      <c r="A26" s="3"/>
      <c r="B26" s="3"/>
      <c r="C26" s="3"/>
      <c r="D26" s="3"/>
      <c r="E26" s="3"/>
      <c r="F26" s="3"/>
      <c r="G26" s="3"/>
      <c r="H26" s="3"/>
    </row>
    <row r="27" spans="1:8" ht="15" customHeight="1" x14ac:dyDescent="0.35">
      <c r="A27" s="3"/>
      <c r="B27" s="3"/>
      <c r="C27" s="3"/>
      <c r="D27" s="3"/>
      <c r="E27" s="3"/>
      <c r="F27" s="3"/>
      <c r="G27" s="3"/>
      <c r="H27" s="3"/>
    </row>
    <row r="28" spans="1:8" ht="15" customHeight="1" x14ac:dyDescent="0.35">
      <c r="A28" s="3"/>
      <c r="B28" s="3"/>
      <c r="C28" s="3"/>
      <c r="D28" s="3"/>
      <c r="E28" s="3"/>
      <c r="F28" s="3"/>
      <c r="G28" s="3"/>
      <c r="H28" s="3"/>
    </row>
    <row r="29" spans="1:8" ht="15" customHeight="1" x14ac:dyDescent="0.35">
      <c r="A29" s="3"/>
      <c r="B29" s="3"/>
      <c r="C29" s="3"/>
      <c r="D29" s="3"/>
      <c r="E29" s="3"/>
      <c r="F29" s="3"/>
      <c r="G29" s="3"/>
      <c r="H29" s="3"/>
    </row>
    <row r="30" spans="1:8" ht="15" customHeight="1" x14ac:dyDescent="0.35">
      <c r="A30" s="3"/>
      <c r="B30" s="3"/>
      <c r="C30" s="3"/>
      <c r="D30" s="3"/>
      <c r="E30" s="3"/>
      <c r="F30" s="3"/>
      <c r="G30" s="3"/>
      <c r="H30" s="3"/>
    </row>
    <row r="31" spans="1:8" ht="15" customHeight="1" x14ac:dyDescent="0.35">
      <c r="A31" s="3"/>
      <c r="B31" s="3"/>
      <c r="C31" s="3"/>
      <c r="D31" s="3"/>
      <c r="E31" s="3"/>
      <c r="F31" s="3"/>
      <c r="G31" s="3"/>
      <c r="H31" s="3"/>
    </row>
    <row r="32" spans="1:8" ht="15" customHeight="1" x14ac:dyDescent="0.35">
      <c r="A32" s="3"/>
      <c r="B32" s="3"/>
      <c r="C32" s="3"/>
      <c r="D32" s="3"/>
      <c r="E32" s="3"/>
      <c r="F32" s="3"/>
      <c r="G32" s="3"/>
      <c r="H32" s="3"/>
    </row>
    <row r="33" spans="1:8" ht="15" customHeight="1" x14ac:dyDescent="0.35">
      <c r="A33" s="3"/>
      <c r="B33" s="3"/>
      <c r="C33" s="3"/>
      <c r="D33" s="3"/>
      <c r="E33" s="3"/>
      <c r="F33" s="3"/>
      <c r="G33" s="3"/>
      <c r="H33" s="3"/>
    </row>
    <row r="34" spans="1:8" ht="15" customHeight="1" x14ac:dyDescent="0.35">
      <c r="A34" s="3"/>
      <c r="B34" s="3"/>
      <c r="C34" s="3"/>
      <c r="D34" s="3"/>
      <c r="E34" s="3"/>
      <c r="F34" s="3"/>
      <c r="G34" s="3"/>
      <c r="H34" s="3"/>
    </row>
    <row r="35" spans="1:8" ht="15" customHeight="1" x14ac:dyDescent="0.35">
      <c r="A35" s="3"/>
      <c r="B35" s="3"/>
      <c r="C35" s="3"/>
      <c r="D35" s="3"/>
      <c r="E35" s="3"/>
      <c r="F35" s="3"/>
      <c r="G35" s="3"/>
      <c r="H35" s="3"/>
    </row>
    <row r="36" spans="1:8" ht="15" customHeight="1" x14ac:dyDescent="0.35">
      <c r="A36" s="3"/>
      <c r="B36" s="3"/>
      <c r="C36" s="3"/>
      <c r="D36" s="3"/>
      <c r="E36" s="3"/>
      <c r="F36" s="3"/>
      <c r="G36" s="3"/>
      <c r="H36" s="3"/>
    </row>
    <row r="37" spans="1:8" ht="15" customHeight="1" x14ac:dyDescent="0.35">
      <c r="A37" s="3"/>
      <c r="B37" s="3"/>
      <c r="C37" s="3"/>
      <c r="D37" s="3"/>
      <c r="E37" s="3"/>
      <c r="F37" s="3"/>
      <c r="G37" s="3"/>
      <c r="H37" s="3"/>
    </row>
    <row r="38" spans="1:8" ht="15" customHeight="1" x14ac:dyDescent="0.35">
      <c r="A38" s="3"/>
      <c r="B38" s="3"/>
      <c r="C38" s="3"/>
      <c r="D38" s="3"/>
      <c r="E38" s="3"/>
      <c r="F38" s="3"/>
      <c r="G38" s="3"/>
      <c r="H38" s="3"/>
    </row>
    <row r="39" spans="1:8" ht="15" customHeight="1" x14ac:dyDescent="0.35">
      <c r="A39" s="3"/>
      <c r="B39" s="3"/>
      <c r="C39" s="3"/>
      <c r="D39" s="3"/>
      <c r="E39" s="3"/>
      <c r="F39" s="3"/>
      <c r="G39" s="3"/>
      <c r="H39" s="3"/>
    </row>
    <row r="40" spans="1:8" ht="15" customHeight="1" x14ac:dyDescent="0.35">
      <c r="A40" s="3"/>
      <c r="B40" s="3"/>
      <c r="C40" s="3"/>
      <c r="D40" s="3"/>
      <c r="E40" s="3"/>
      <c r="F40" s="3"/>
      <c r="G40" s="3"/>
      <c r="H40" s="3"/>
    </row>
    <row r="41" spans="1:8" ht="15" customHeight="1" x14ac:dyDescent="0.35">
      <c r="A41" s="3"/>
      <c r="B41" s="3"/>
      <c r="C41" s="3"/>
      <c r="D41" s="3"/>
      <c r="E41" s="3"/>
      <c r="F41" s="3"/>
      <c r="G41" s="3"/>
      <c r="H41" s="3"/>
    </row>
    <row r="42" spans="1:8" ht="15" customHeight="1" x14ac:dyDescent="0.35">
      <c r="A42" s="3"/>
      <c r="B42" s="3"/>
      <c r="C42" s="3"/>
      <c r="D42" s="3"/>
      <c r="E42" s="3"/>
      <c r="F42" s="3"/>
      <c r="G42" s="3"/>
      <c r="H42" s="3"/>
    </row>
    <row r="43" spans="1:8" ht="15" customHeight="1" x14ac:dyDescent="0.35">
      <c r="A43" s="3"/>
      <c r="B43" s="3"/>
      <c r="C43" s="3"/>
      <c r="D43" s="3"/>
      <c r="E43" s="3"/>
      <c r="F43" s="3"/>
      <c r="G43" s="3"/>
      <c r="H43" s="3"/>
    </row>
    <row r="44" spans="1:8" ht="15" customHeight="1" x14ac:dyDescent="0.35">
      <c r="A44" s="3"/>
      <c r="B44" s="3"/>
      <c r="C44" s="3"/>
      <c r="D44" s="3"/>
      <c r="E44" s="3"/>
      <c r="F44" s="3"/>
      <c r="G44" s="3"/>
      <c r="H44" s="3"/>
    </row>
    <row r="45" spans="1:8" ht="15" customHeight="1" x14ac:dyDescent="0.35">
      <c r="A45" s="3"/>
      <c r="B45" s="3"/>
      <c r="C45" s="3"/>
      <c r="D45" s="3"/>
      <c r="E45" s="3"/>
      <c r="F45" s="3"/>
      <c r="G45" s="3"/>
      <c r="H45" s="3"/>
    </row>
    <row r="46" spans="1:8" ht="15" customHeight="1" x14ac:dyDescent="0.35">
      <c r="A46" s="3"/>
      <c r="B46" s="3"/>
      <c r="C46" s="3"/>
      <c r="D46" s="3"/>
      <c r="E46" s="3"/>
      <c r="F46" s="3"/>
      <c r="G46" s="3"/>
      <c r="H46" s="3"/>
    </row>
    <row r="47" spans="1:8" ht="15" customHeight="1" x14ac:dyDescent="0.35">
      <c r="A47" s="3"/>
      <c r="B47" s="3"/>
      <c r="C47" s="3"/>
      <c r="D47" s="3"/>
      <c r="E47" s="3"/>
      <c r="F47" s="3"/>
      <c r="G47" s="3"/>
      <c r="H47" s="3"/>
    </row>
    <row r="48" spans="1:8" ht="15" customHeight="1" x14ac:dyDescent="0.35">
      <c r="A48" s="3"/>
      <c r="B48" s="3"/>
      <c r="C48" s="3"/>
      <c r="D48" s="3"/>
      <c r="E48" s="3"/>
      <c r="F48" s="3"/>
      <c r="G48" s="3"/>
      <c r="H48" s="3"/>
    </row>
    <row r="49" spans="1:8" ht="15" customHeight="1" x14ac:dyDescent="0.35">
      <c r="A49" s="3"/>
      <c r="B49" s="3"/>
      <c r="C49" s="3"/>
      <c r="D49" s="3"/>
      <c r="E49" s="3"/>
      <c r="F49" s="3"/>
      <c r="G49" s="3"/>
      <c r="H49" s="3"/>
    </row>
    <row r="50" spans="1:8" ht="15" customHeight="1" x14ac:dyDescent="0.35">
      <c r="A50" s="3"/>
      <c r="B50" s="3"/>
      <c r="C50" s="3"/>
      <c r="D50" s="3"/>
      <c r="E50" s="3"/>
      <c r="F50" s="3"/>
      <c r="G50" s="3"/>
      <c r="H50" s="3"/>
    </row>
    <row r="51" spans="1:8" ht="15" customHeight="1" x14ac:dyDescent="0.35">
      <c r="A51" s="3"/>
      <c r="B51" s="3"/>
      <c r="C51" s="3"/>
      <c r="D51" s="3"/>
      <c r="E51" s="3"/>
      <c r="F51" s="3"/>
      <c r="G51" s="3"/>
      <c r="H51" s="3"/>
    </row>
    <row r="52" spans="1:8" ht="15" customHeight="1" x14ac:dyDescent="0.35">
      <c r="A52" s="3"/>
      <c r="B52" s="3"/>
      <c r="C52" s="3"/>
      <c r="D52" s="3"/>
      <c r="E52" s="3"/>
      <c r="F52" s="3"/>
      <c r="G52" s="3"/>
      <c r="H52" s="3"/>
    </row>
    <row r="53" spans="1:8" ht="15" customHeight="1" x14ac:dyDescent="0.35">
      <c r="A53" s="3"/>
      <c r="B53" s="3"/>
      <c r="C53" s="3"/>
      <c r="D53" s="3"/>
      <c r="E53" s="3"/>
      <c r="F53" s="3"/>
      <c r="G53" s="3"/>
      <c r="H53" s="3"/>
    </row>
    <row r="54" spans="1:8" ht="15" customHeight="1" x14ac:dyDescent="0.35">
      <c r="A54" s="3"/>
      <c r="B54" s="3"/>
      <c r="C54" s="3"/>
      <c r="D54" s="3"/>
      <c r="E54" s="3"/>
      <c r="F54" s="3"/>
      <c r="G54" s="3"/>
      <c r="H54" s="3"/>
    </row>
    <row r="55" spans="1:8" ht="15" customHeight="1" x14ac:dyDescent="0.35">
      <c r="A55" s="3"/>
      <c r="B55" s="3"/>
      <c r="C55" s="3"/>
      <c r="D55" s="3"/>
      <c r="E55" s="3"/>
      <c r="F55" s="3"/>
      <c r="G55" s="3"/>
      <c r="H55" s="3"/>
    </row>
    <row r="56" spans="1:8" ht="15" customHeight="1" x14ac:dyDescent="0.35">
      <c r="A56" s="3"/>
      <c r="B56" s="3"/>
      <c r="C56" s="3"/>
      <c r="D56" s="3"/>
      <c r="E56" s="3"/>
      <c r="F56" s="3"/>
      <c r="G56" s="3"/>
      <c r="H56" s="3"/>
    </row>
    <row r="57" spans="1:8" ht="15" customHeight="1" x14ac:dyDescent="0.35">
      <c r="A57" s="3"/>
      <c r="B57" s="3"/>
      <c r="C57" s="3"/>
      <c r="D57" s="3"/>
      <c r="E57" s="3"/>
      <c r="F57" s="3"/>
      <c r="G57" s="3"/>
      <c r="H57" s="3"/>
    </row>
    <row r="58" spans="1:8" ht="15" customHeight="1" x14ac:dyDescent="0.35">
      <c r="A58" s="3"/>
      <c r="B58" s="3"/>
      <c r="C58" s="3"/>
      <c r="D58" s="3"/>
      <c r="E58" s="3"/>
      <c r="F58" s="3"/>
      <c r="G58" s="3"/>
      <c r="H58" s="3"/>
    </row>
    <row r="59" spans="1:8" ht="15" customHeight="1" x14ac:dyDescent="0.35">
      <c r="A59" s="3"/>
      <c r="B59" s="3"/>
      <c r="C59" s="3"/>
      <c r="D59" s="3"/>
      <c r="E59" s="3"/>
      <c r="F59" s="3"/>
      <c r="G59" s="3"/>
      <c r="H59" s="3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59E0B"/>
  </sheetPr>
  <dimension ref="A1:I39"/>
  <sheetViews>
    <sheetView zoomScale="40" zoomScaleNormal="40" workbookViewId="0">
      <selection sqref="A1:H1"/>
    </sheetView>
  </sheetViews>
  <sheetFormatPr baseColWidth="10" defaultColWidth="8.6328125" defaultRowHeight="14.5" x14ac:dyDescent="0.35"/>
  <cols>
    <col min="1" max="1" width="8" customWidth="1"/>
    <col min="2" max="8" width="12" customWidth="1"/>
  </cols>
  <sheetData>
    <row r="1" spans="1:9" ht="30" customHeight="1" x14ac:dyDescent="0.35">
      <c r="A1" s="170" t="s">
        <v>250</v>
      </c>
      <c r="B1" s="170"/>
      <c r="C1" s="170"/>
      <c r="D1" s="170"/>
      <c r="E1" s="170"/>
      <c r="F1" s="170"/>
      <c r="G1" s="170"/>
      <c r="H1" s="170"/>
      <c r="I1" s="3"/>
    </row>
    <row r="2" spans="1:9" ht="15" customHeight="1" x14ac:dyDescent="0.35">
      <c r="A2" s="3"/>
      <c r="B2" s="3"/>
      <c r="C2" s="3"/>
      <c r="D2" s="3"/>
      <c r="E2" s="3"/>
      <c r="F2" s="3"/>
      <c r="G2" s="3"/>
      <c r="H2" s="3"/>
      <c r="I2" s="3"/>
    </row>
    <row r="3" spans="1:9" ht="24" customHeight="1" x14ac:dyDescent="0.35">
      <c r="A3" s="5" t="s">
        <v>251</v>
      </c>
      <c r="B3" s="3"/>
      <c r="C3" s="3"/>
      <c r="D3" s="3"/>
      <c r="E3" s="3"/>
      <c r="F3" s="3"/>
      <c r="G3" s="3"/>
      <c r="H3" s="3"/>
      <c r="I3" s="3"/>
    </row>
    <row r="4" spans="1:9" ht="15" customHeight="1" x14ac:dyDescent="0.35">
      <c r="A4" s="159" t="s">
        <v>252</v>
      </c>
      <c r="B4" s="159" t="s">
        <v>235</v>
      </c>
      <c r="C4" s="159" t="s">
        <v>42</v>
      </c>
      <c r="D4" s="159" t="s">
        <v>253</v>
      </c>
      <c r="E4" s="159" t="s">
        <v>62</v>
      </c>
      <c r="F4" s="159"/>
      <c r="G4" s="159"/>
      <c r="H4" s="159"/>
      <c r="I4" s="3"/>
    </row>
    <row r="5" spans="1:9" ht="15" customHeight="1" x14ac:dyDescent="0.35">
      <c r="A5" s="160">
        <v>1</v>
      </c>
      <c r="B5" s="161"/>
      <c r="C5" s="112"/>
      <c r="D5" s="162">
        <v>0</v>
      </c>
      <c r="E5" s="112"/>
      <c r="F5" s="3"/>
      <c r="G5" s="3"/>
      <c r="H5" s="3"/>
      <c r="I5" s="3"/>
    </row>
    <row r="6" spans="1:9" ht="15" customHeight="1" x14ac:dyDescent="0.35">
      <c r="A6" s="163">
        <v>2</v>
      </c>
      <c r="B6" s="164"/>
      <c r="C6" s="115"/>
      <c r="D6" s="165">
        <v>0</v>
      </c>
      <c r="E6" s="115"/>
      <c r="F6" s="3"/>
      <c r="G6" s="3"/>
      <c r="H6" s="3"/>
      <c r="I6" s="3"/>
    </row>
    <row r="7" spans="1:9" ht="15" customHeight="1" x14ac:dyDescent="0.35">
      <c r="A7" s="160">
        <v>3</v>
      </c>
      <c r="B7" s="161"/>
      <c r="C7" s="112"/>
      <c r="D7" s="162">
        <v>0</v>
      </c>
      <c r="E7" s="112"/>
      <c r="F7" s="3"/>
      <c r="G7" s="3"/>
      <c r="H7" s="3"/>
      <c r="I7" s="3"/>
    </row>
    <row r="8" spans="1:9" ht="15" customHeight="1" x14ac:dyDescent="0.35">
      <c r="A8" s="163">
        <v>4</v>
      </c>
      <c r="B8" s="164"/>
      <c r="C8" s="115"/>
      <c r="D8" s="165">
        <v>0</v>
      </c>
      <c r="E8" s="115"/>
      <c r="F8" s="3"/>
      <c r="G8" s="3"/>
      <c r="H8" s="3"/>
      <c r="I8" s="3"/>
    </row>
    <row r="9" spans="1:9" ht="15" customHeight="1" x14ac:dyDescent="0.35">
      <c r="A9" s="160">
        <v>5</v>
      </c>
      <c r="B9" s="161"/>
      <c r="C9" s="112"/>
      <c r="D9" s="162">
        <v>0</v>
      </c>
      <c r="E9" s="112"/>
      <c r="F9" s="3"/>
      <c r="G9" s="3"/>
      <c r="H9" s="3"/>
      <c r="I9" s="3"/>
    </row>
    <row r="10" spans="1:9" ht="15" customHeight="1" x14ac:dyDescent="0.35">
      <c r="A10" s="163">
        <v>6</v>
      </c>
      <c r="B10" s="164"/>
      <c r="C10" s="115"/>
      <c r="D10" s="165">
        <v>0</v>
      </c>
      <c r="E10" s="115"/>
      <c r="F10" s="3"/>
      <c r="G10" s="3"/>
      <c r="H10" s="3"/>
      <c r="I10" s="3"/>
    </row>
    <row r="11" spans="1:9" ht="15" customHeight="1" x14ac:dyDescent="0.35">
      <c r="A11" s="160">
        <v>7</v>
      </c>
      <c r="B11" s="161"/>
      <c r="C11" s="112"/>
      <c r="D11" s="162">
        <v>0</v>
      </c>
      <c r="E11" s="112"/>
      <c r="F11" s="3"/>
      <c r="G11" s="3"/>
      <c r="H11" s="3"/>
      <c r="I11" s="3"/>
    </row>
    <row r="12" spans="1:9" ht="15" customHeight="1" x14ac:dyDescent="0.35">
      <c r="A12" s="163">
        <v>8</v>
      </c>
      <c r="B12" s="164"/>
      <c r="C12" s="115"/>
      <c r="D12" s="165">
        <v>0</v>
      </c>
      <c r="E12" s="115"/>
      <c r="F12" s="3"/>
      <c r="G12" s="3"/>
      <c r="H12" s="3"/>
      <c r="I12" s="3"/>
    </row>
    <row r="13" spans="1:9" ht="15" customHeight="1" x14ac:dyDescent="0.35">
      <c r="A13" s="160">
        <v>9</v>
      </c>
      <c r="B13" s="161"/>
      <c r="C13" s="112"/>
      <c r="D13" s="162">
        <v>0</v>
      </c>
      <c r="E13" s="112"/>
      <c r="F13" s="3"/>
      <c r="G13" s="3"/>
      <c r="H13" s="3"/>
      <c r="I13" s="3"/>
    </row>
    <row r="14" spans="1:9" ht="15" customHeight="1" x14ac:dyDescent="0.35">
      <c r="A14" s="163">
        <v>10</v>
      </c>
      <c r="B14" s="164"/>
      <c r="C14" s="115"/>
      <c r="D14" s="165">
        <v>0</v>
      </c>
      <c r="E14" s="115"/>
      <c r="F14" s="3"/>
      <c r="G14" s="3"/>
      <c r="H14" s="3"/>
      <c r="I14" s="3"/>
    </row>
    <row r="15" spans="1:9" ht="15" customHeight="1" x14ac:dyDescent="0.35">
      <c r="A15" s="160">
        <v>11</v>
      </c>
      <c r="B15" s="161"/>
      <c r="C15" s="112"/>
      <c r="D15" s="162">
        <v>0</v>
      </c>
      <c r="E15" s="112"/>
      <c r="F15" s="3"/>
      <c r="G15" s="3"/>
      <c r="H15" s="3"/>
      <c r="I15" s="3"/>
    </row>
    <row r="16" spans="1:9" ht="15" customHeight="1" x14ac:dyDescent="0.35">
      <c r="A16" s="163">
        <v>12</v>
      </c>
      <c r="B16" s="164"/>
      <c r="C16" s="115"/>
      <c r="D16" s="165">
        <v>0</v>
      </c>
      <c r="E16" s="115"/>
      <c r="F16" s="3"/>
      <c r="G16" s="3"/>
      <c r="H16" s="3"/>
      <c r="I16" s="3"/>
    </row>
    <row r="17" spans="1:9" ht="15" customHeight="1" x14ac:dyDescent="0.35">
      <c r="A17" s="160">
        <v>13</v>
      </c>
      <c r="B17" s="161"/>
      <c r="C17" s="112"/>
      <c r="D17" s="162">
        <v>0</v>
      </c>
      <c r="E17" s="112"/>
      <c r="F17" s="3"/>
      <c r="G17" s="3"/>
      <c r="H17" s="3"/>
      <c r="I17" s="3"/>
    </row>
    <row r="18" spans="1:9" ht="15" customHeight="1" x14ac:dyDescent="0.35">
      <c r="A18" s="163">
        <v>14</v>
      </c>
      <c r="B18" s="164"/>
      <c r="C18" s="115"/>
      <c r="D18" s="165">
        <v>0</v>
      </c>
      <c r="E18" s="115"/>
      <c r="F18" s="3"/>
      <c r="G18" s="3"/>
      <c r="H18" s="3"/>
      <c r="I18" s="3"/>
    </row>
    <row r="19" spans="1:9" ht="15" customHeight="1" x14ac:dyDescent="0.35">
      <c r="A19" s="160">
        <v>15</v>
      </c>
      <c r="B19" s="161"/>
      <c r="C19" s="112"/>
      <c r="D19" s="162">
        <v>0</v>
      </c>
      <c r="E19" s="112"/>
      <c r="F19" s="3"/>
      <c r="G19" s="3"/>
      <c r="H19" s="3"/>
      <c r="I19" s="3"/>
    </row>
    <row r="20" spans="1:9" ht="15" customHeight="1" x14ac:dyDescent="0.35">
      <c r="A20" s="163">
        <v>16</v>
      </c>
      <c r="B20" s="164"/>
      <c r="C20" s="115"/>
      <c r="D20" s="165">
        <v>0</v>
      </c>
      <c r="E20" s="115"/>
      <c r="F20" s="3"/>
      <c r="G20" s="3"/>
      <c r="H20" s="3"/>
      <c r="I20" s="3"/>
    </row>
    <row r="21" spans="1:9" ht="15" customHeight="1" x14ac:dyDescent="0.35">
      <c r="A21" s="160">
        <v>17</v>
      </c>
      <c r="B21" s="161"/>
      <c r="C21" s="112"/>
      <c r="D21" s="162">
        <v>0</v>
      </c>
      <c r="E21" s="112"/>
      <c r="F21" s="3"/>
      <c r="G21" s="3"/>
      <c r="H21" s="3"/>
      <c r="I21" s="3"/>
    </row>
    <row r="22" spans="1:9" ht="15" customHeight="1" x14ac:dyDescent="0.35">
      <c r="A22" s="163">
        <v>18</v>
      </c>
      <c r="B22" s="164"/>
      <c r="C22" s="115"/>
      <c r="D22" s="165">
        <v>0</v>
      </c>
      <c r="E22" s="115"/>
      <c r="F22" s="3"/>
      <c r="G22" s="3"/>
      <c r="H22" s="3"/>
      <c r="I22" s="3"/>
    </row>
    <row r="23" spans="1:9" ht="15" customHeight="1" x14ac:dyDescent="0.35">
      <c r="A23" s="160">
        <v>19</v>
      </c>
      <c r="B23" s="161"/>
      <c r="C23" s="112"/>
      <c r="D23" s="162">
        <v>0</v>
      </c>
      <c r="E23" s="112"/>
      <c r="F23" s="3"/>
      <c r="G23" s="3"/>
      <c r="H23" s="3"/>
      <c r="I23" s="3"/>
    </row>
    <row r="24" spans="1:9" ht="15" customHeight="1" x14ac:dyDescent="0.35">
      <c r="A24" s="163">
        <v>20</v>
      </c>
      <c r="B24" s="164"/>
      <c r="C24" s="115"/>
      <c r="D24" s="165">
        <v>0</v>
      </c>
      <c r="E24" s="115"/>
      <c r="F24" s="3"/>
      <c r="G24" s="3"/>
      <c r="H24" s="3"/>
      <c r="I24" s="3"/>
    </row>
    <row r="25" spans="1:9" ht="15" customHeight="1" x14ac:dyDescent="0.35">
      <c r="A25" s="160">
        <v>21</v>
      </c>
      <c r="B25" s="161"/>
      <c r="C25" s="112"/>
      <c r="D25" s="162">
        <v>0</v>
      </c>
      <c r="E25" s="112"/>
      <c r="F25" s="3"/>
      <c r="G25" s="3"/>
      <c r="H25" s="3"/>
      <c r="I25" s="3"/>
    </row>
    <row r="26" spans="1:9" ht="15" customHeight="1" x14ac:dyDescent="0.35">
      <c r="A26" s="163">
        <v>22</v>
      </c>
      <c r="B26" s="164"/>
      <c r="C26" s="115"/>
      <c r="D26" s="165">
        <v>0</v>
      </c>
      <c r="E26" s="115"/>
      <c r="F26" s="3"/>
      <c r="G26" s="3"/>
      <c r="H26" s="3"/>
      <c r="I26" s="3"/>
    </row>
    <row r="27" spans="1:9" ht="15" customHeight="1" x14ac:dyDescent="0.35">
      <c r="A27" s="160">
        <v>23</v>
      </c>
      <c r="B27" s="161"/>
      <c r="C27" s="112"/>
      <c r="D27" s="162">
        <v>0</v>
      </c>
      <c r="E27" s="112"/>
      <c r="F27" s="3"/>
      <c r="G27" s="3"/>
      <c r="H27" s="3"/>
      <c r="I27" s="3"/>
    </row>
    <row r="28" spans="1:9" ht="15" customHeight="1" x14ac:dyDescent="0.35">
      <c r="A28" s="163">
        <v>24</v>
      </c>
      <c r="B28" s="164"/>
      <c r="C28" s="115"/>
      <c r="D28" s="165">
        <v>0</v>
      </c>
      <c r="E28" s="115"/>
      <c r="F28" s="3"/>
      <c r="G28" s="3"/>
      <c r="H28" s="3"/>
      <c r="I28" s="3"/>
    </row>
    <row r="29" spans="1:9" ht="15" customHeight="1" x14ac:dyDescent="0.35">
      <c r="A29" s="160">
        <v>25</v>
      </c>
      <c r="B29" s="161"/>
      <c r="C29" s="112"/>
      <c r="D29" s="162">
        <v>0</v>
      </c>
      <c r="E29" s="112"/>
      <c r="F29" s="3"/>
      <c r="G29" s="3"/>
      <c r="H29" s="3"/>
      <c r="I29" s="3"/>
    </row>
    <row r="30" spans="1:9" ht="15" customHeight="1" x14ac:dyDescent="0.35">
      <c r="A30" s="163">
        <v>26</v>
      </c>
      <c r="B30" s="164"/>
      <c r="C30" s="115"/>
      <c r="D30" s="165">
        <v>0</v>
      </c>
      <c r="E30" s="115"/>
      <c r="F30" s="3"/>
      <c r="G30" s="3"/>
      <c r="H30" s="3"/>
      <c r="I30" s="3"/>
    </row>
    <row r="31" spans="1:9" ht="15" customHeight="1" x14ac:dyDescent="0.35">
      <c r="A31" s="160">
        <v>27</v>
      </c>
      <c r="B31" s="161"/>
      <c r="C31" s="112"/>
      <c r="D31" s="162">
        <v>0</v>
      </c>
      <c r="E31" s="112"/>
      <c r="F31" s="3"/>
      <c r="G31" s="3"/>
      <c r="H31" s="3"/>
      <c r="I31" s="3"/>
    </row>
    <row r="32" spans="1:9" ht="15" customHeight="1" x14ac:dyDescent="0.35">
      <c r="A32" s="163">
        <v>28</v>
      </c>
      <c r="B32" s="164"/>
      <c r="C32" s="115"/>
      <c r="D32" s="165">
        <v>0</v>
      </c>
      <c r="E32" s="115"/>
      <c r="F32" s="3"/>
      <c r="G32" s="3"/>
      <c r="H32" s="3"/>
      <c r="I32" s="3"/>
    </row>
    <row r="33" spans="1:9" ht="15" customHeight="1" x14ac:dyDescent="0.35">
      <c r="A33" s="160">
        <v>29</v>
      </c>
      <c r="B33" s="161"/>
      <c r="C33" s="112"/>
      <c r="D33" s="162">
        <v>0</v>
      </c>
      <c r="E33" s="112"/>
      <c r="F33" s="3"/>
      <c r="G33" s="3"/>
      <c r="H33" s="3"/>
      <c r="I33" s="3"/>
    </row>
    <row r="34" spans="1:9" ht="15" customHeight="1" x14ac:dyDescent="0.35">
      <c r="A34" s="163">
        <v>30</v>
      </c>
      <c r="B34" s="164"/>
      <c r="C34" s="115"/>
      <c r="D34" s="165">
        <v>0</v>
      </c>
      <c r="E34" s="115"/>
      <c r="F34" s="3"/>
      <c r="G34" s="3"/>
      <c r="H34" s="3"/>
      <c r="I34" s="3"/>
    </row>
    <row r="35" spans="1:9" ht="15" customHeight="1" x14ac:dyDescent="0.35">
      <c r="A35" s="3"/>
      <c r="B35" s="3"/>
      <c r="C35" s="3"/>
      <c r="D35" s="3"/>
      <c r="E35" s="3"/>
      <c r="F35" s="3"/>
      <c r="G35" s="3"/>
      <c r="H35" s="3"/>
      <c r="I35" s="3"/>
    </row>
    <row r="36" spans="1:9" ht="15.75" customHeight="1" x14ac:dyDescent="0.35">
      <c r="A36" s="186" t="s">
        <v>254</v>
      </c>
      <c r="B36" s="186"/>
      <c r="C36" s="186"/>
      <c r="D36" s="166">
        <f>COUNTIF(C5:C34,"✅")</f>
        <v>0</v>
      </c>
      <c r="E36" s="3"/>
      <c r="F36" s="3"/>
      <c r="G36" s="3"/>
      <c r="H36" s="3"/>
      <c r="I36" s="3"/>
    </row>
    <row r="37" spans="1:9" ht="15.75" customHeight="1" x14ac:dyDescent="0.35">
      <c r="A37" s="187" t="s">
        <v>255</v>
      </c>
      <c r="B37" s="187"/>
      <c r="C37" s="187"/>
      <c r="D37" s="167">
        <f>SUM(D5:D34)</f>
        <v>0</v>
      </c>
      <c r="E37" s="3"/>
      <c r="F37" s="3"/>
      <c r="G37" s="3"/>
      <c r="H37" s="3"/>
      <c r="I37" s="3"/>
    </row>
    <row r="38" spans="1:9" ht="15" customHeight="1" x14ac:dyDescent="0.35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35">
      <c r="A39" s="3"/>
      <c r="B39" s="3"/>
      <c r="C39" s="3"/>
      <c r="D39" s="3"/>
      <c r="E39" s="3"/>
      <c r="F39" s="3"/>
      <c r="G39" s="3"/>
      <c r="H39" s="3"/>
      <c r="I39" s="3"/>
    </row>
  </sheetData>
  <mergeCells count="3">
    <mergeCell ref="A1:H1"/>
    <mergeCell ref="A36:C36"/>
    <mergeCell ref="A37:C37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4A3B8"/>
  </sheetPr>
  <dimension ref="A1:E59"/>
  <sheetViews>
    <sheetView zoomScaleNormal="100" workbookViewId="0">
      <selection sqref="A1:D1"/>
    </sheetView>
  </sheetViews>
  <sheetFormatPr baseColWidth="10" defaultColWidth="8.6328125" defaultRowHeight="14.5" x14ac:dyDescent="0.35"/>
  <cols>
    <col min="1" max="1" width="4" customWidth="1"/>
    <col min="2" max="2" width="28" customWidth="1"/>
    <col min="3" max="3" width="60" customWidth="1"/>
    <col min="4" max="4" width="10" customWidth="1"/>
  </cols>
  <sheetData>
    <row r="1" spans="1:5" ht="36" customHeight="1" x14ac:dyDescent="0.35">
      <c r="A1" s="178" t="s">
        <v>256</v>
      </c>
      <c r="B1" s="178"/>
      <c r="C1" s="178"/>
      <c r="D1" s="178"/>
      <c r="E1" s="3"/>
    </row>
    <row r="2" spans="1:5" ht="15" customHeight="1" x14ac:dyDescent="0.35">
      <c r="A2" s="3"/>
      <c r="B2" s="3"/>
      <c r="C2" s="3"/>
      <c r="D2" s="3"/>
      <c r="E2" s="3"/>
    </row>
    <row r="3" spans="1:5" ht="21.75" customHeight="1" x14ac:dyDescent="0.35">
      <c r="A3" s="3"/>
      <c r="B3" s="168" t="s">
        <v>257</v>
      </c>
      <c r="C3" s="10" t="s">
        <v>258</v>
      </c>
      <c r="D3" s="3"/>
      <c r="E3" s="3"/>
    </row>
    <row r="4" spans="1:5" ht="3.75" customHeight="1" x14ac:dyDescent="0.35">
      <c r="A4" s="3"/>
      <c r="B4" s="3"/>
      <c r="C4" s="3"/>
      <c r="D4" s="3"/>
      <c r="E4" s="3"/>
    </row>
    <row r="5" spans="1:5" ht="21.75" customHeight="1" x14ac:dyDescent="0.35">
      <c r="A5" s="3"/>
      <c r="B5" s="168" t="s">
        <v>259</v>
      </c>
      <c r="C5" s="10" t="s">
        <v>260</v>
      </c>
      <c r="D5" s="3"/>
      <c r="E5" s="3"/>
    </row>
    <row r="6" spans="1:5" ht="3.75" customHeight="1" x14ac:dyDescent="0.35">
      <c r="A6" s="3"/>
      <c r="B6" s="3"/>
      <c r="C6" s="3"/>
      <c r="D6" s="3"/>
      <c r="E6" s="3"/>
    </row>
    <row r="7" spans="1:5" ht="21.75" customHeight="1" x14ac:dyDescent="0.35">
      <c r="A7" s="3"/>
      <c r="B7" s="168" t="s">
        <v>261</v>
      </c>
      <c r="C7" s="10" t="s">
        <v>262</v>
      </c>
      <c r="D7" s="3"/>
      <c r="E7" s="3"/>
    </row>
    <row r="8" spans="1:5" ht="3.75" customHeight="1" x14ac:dyDescent="0.35">
      <c r="A8" s="3"/>
      <c r="B8" s="3"/>
      <c r="C8" s="3"/>
      <c r="D8" s="3"/>
      <c r="E8" s="3"/>
    </row>
    <row r="9" spans="1:5" ht="21.75" customHeight="1" x14ac:dyDescent="0.35">
      <c r="A9" s="3"/>
      <c r="B9" s="168" t="s">
        <v>263</v>
      </c>
      <c r="C9" s="10" t="s">
        <v>264</v>
      </c>
      <c r="D9" s="3"/>
      <c r="E9" s="3"/>
    </row>
    <row r="10" spans="1:5" ht="3.75" customHeight="1" x14ac:dyDescent="0.35">
      <c r="A10" s="3"/>
      <c r="B10" s="3"/>
      <c r="C10" s="3"/>
      <c r="D10" s="3"/>
      <c r="E10" s="3"/>
    </row>
    <row r="11" spans="1:5" ht="21.75" customHeight="1" x14ac:dyDescent="0.35">
      <c r="A11" s="3"/>
      <c r="B11" s="168" t="s">
        <v>265</v>
      </c>
      <c r="C11" s="10" t="s">
        <v>266</v>
      </c>
      <c r="D11" s="3"/>
      <c r="E11" s="3"/>
    </row>
    <row r="12" spans="1:5" ht="3.75" customHeight="1" x14ac:dyDescent="0.35">
      <c r="A12" s="3"/>
      <c r="B12" s="3"/>
      <c r="C12" s="3"/>
      <c r="D12" s="3"/>
      <c r="E12" s="3"/>
    </row>
    <row r="13" spans="1:5" ht="21.75" customHeight="1" x14ac:dyDescent="0.35">
      <c r="A13" s="3"/>
      <c r="B13" s="168" t="s">
        <v>267</v>
      </c>
      <c r="C13" s="10" t="s">
        <v>268</v>
      </c>
      <c r="D13" s="3"/>
      <c r="E13" s="3"/>
    </row>
    <row r="14" spans="1:5" ht="3.75" customHeight="1" x14ac:dyDescent="0.35">
      <c r="A14" s="3"/>
      <c r="B14" s="3"/>
      <c r="C14" s="3"/>
      <c r="D14" s="3"/>
      <c r="E14" s="3"/>
    </row>
    <row r="15" spans="1:5" ht="21.75" customHeight="1" x14ac:dyDescent="0.35">
      <c r="A15" s="3"/>
      <c r="B15" s="168" t="s">
        <v>269</v>
      </c>
      <c r="C15" s="10" t="s">
        <v>270</v>
      </c>
      <c r="D15" s="3"/>
      <c r="E15" s="3"/>
    </row>
    <row r="16" spans="1:5" ht="3.75" customHeight="1" x14ac:dyDescent="0.35">
      <c r="A16" s="3"/>
      <c r="B16" s="3"/>
      <c r="C16" s="3"/>
      <c r="D16" s="3"/>
      <c r="E16" s="3"/>
    </row>
    <row r="17" spans="1:5" ht="21.75" customHeight="1" x14ac:dyDescent="0.35">
      <c r="A17" s="3"/>
      <c r="B17" s="168" t="s">
        <v>271</v>
      </c>
      <c r="C17" s="10" t="s">
        <v>272</v>
      </c>
      <c r="D17" s="3"/>
      <c r="E17" s="3"/>
    </row>
    <row r="18" spans="1:5" ht="3.75" customHeight="1" x14ac:dyDescent="0.35">
      <c r="A18" s="3"/>
      <c r="B18" s="3"/>
      <c r="C18" s="3"/>
      <c r="D18" s="3"/>
      <c r="E18" s="3"/>
    </row>
    <row r="19" spans="1:5" ht="21.75" customHeight="1" x14ac:dyDescent="0.35">
      <c r="A19" s="3"/>
      <c r="B19" s="168" t="s">
        <v>273</v>
      </c>
      <c r="C19" s="10" t="s">
        <v>274</v>
      </c>
      <c r="D19" s="3"/>
      <c r="E19" s="3"/>
    </row>
    <row r="20" spans="1:5" ht="3.75" customHeight="1" x14ac:dyDescent="0.35">
      <c r="A20" s="3"/>
      <c r="B20" s="3"/>
      <c r="C20" s="3"/>
      <c r="D20" s="3"/>
      <c r="E20" s="3"/>
    </row>
    <row r="21" spans="1:5" ht="21.75" customHeight="1" x14ac:dyDescent="0.35">
      <c r="A21" s="3"/>
      <c r="B21" s="168" t="s">
        <v>275</v>
      </c>
      <c r="C21" s="10" t="s">
        <v>276</v>
      </c>
      <c r="D21" s="3"/>
      <c r="E21" s="3"/>
    </row>
    <row r="22" spans="1:5" ht="3.75" customHeight="1" x14ac:dyDescent="0.35">
      <c r="A22" s="3"/>
      <c r="B22" s="3"/>
      <c r="C22" s="3"/>
      <c r="D22" s="3"/>
      <c r="E22" s="3"/>
    </row>
    <row r="23" spans="1:5" ht="15" customHeight="1" x14ac:dyDescent="0.35">
      <c r="A23" s="3"/>
      <c r="B23" s="3"/>
      <c r="C23" s="3"/>
      <c r="D23" s="3"/>
      <c r="E23" s="3"/>
    </row>
    <row r="24" spans="1:5" ht="15" customHeight="1" x14ac:dyDescent="0.35">
      <c r="A24" s="3"/>
      <c r="B24" s="3"/>
      <c r="C24" s="3"/>
      <c r="D24" s="3"/>
      <c r="E24" s="3"/>
    </row>
    <row r="25" spans="1:5" ht="15" customHeight="1" x14ac:dyDescent="0.35">
      <c r="A25" s="3"/>
      <c r="B25" s="3"/>
      <c r="C25" s="3"/>
      <c r="D25" s="3"/>
      <c r="E25" s="3"/>
    </row>
    <row r="26" spans="1:5" ht="15" customHeight="1" x14ac:dyDescent="0.35">
      <c r="A26" s="3"/>
      <c r="B26" s="3"/>
      <c r="C26" s="3"/>
      <c r="D26" s="3"/>
      <c r="E26" s="3"/>
    </row>
    <row r="27" spans="1:5" ht="15" customHeight="1" x14ac:dyDescent="0.35">
      <c r="A27" s="3"/>
      <c r="B27" s="3"/>
      <c r="C27" s="3"/>
      <c r="D27" s="3"/>
      <c r="E27" s="3"/>
    </row>
    <row r="28" spans="1:5" ht="15" customHeight="1" x14ac:dyDescent="0.35">
      <c r="A28" s="3"/>
      <c r="B28" s="3"/>
      <c r="C28" s="3"/>
      <c r="D28" s="3"/>
      <c r="E28" s="3"/>
    </row>
    <row r="29" spans="1:5" ht="15" customHeight="1" x14ac:dyDescent="0.35">
      <c r="A29" s="3"/>
      <c r="B29" s="3"/>
      <c r="C29" s="3"/>
      <c r="D29" s="3"/>
      <c r="E29" s="3"/>
    </row>
    <row r="30" spans="1:5" ht="15" customHeight="1" x14ac:dyDescent="0.35">
      <c r="A30" s="3"/>
      <c r="B30" s="3"/>
      <c r="C30" s="3"/>
      <c r="D30" s="3"/>
      <c r="E30" s="3"/>
    </row>
    <row r="31" spans="1:5" ht="15" customHeight="1" x14ac:dyDescent="0.35">
      <c r="A31" s="3"/>
      <c r="B31" s="3"/>
      <c r="C31" s="3"/>
      <c r="D31" s="3"/>
      <c r="E31" s="3"/>
    </row>
    <row r="32" spans="1:5" ht="15" customHeight="1" x14ac:dyDescent="0.35">
      <c r="A32" s="3"/>
      <c r="B32" s="3"/>
      <c r="C32" s="3"/>
      <c r="D32" s="3"/>
      <c r="E32" s="3"/>
    </row>
    <row r="33" spans="1:5" ht="15" customHeight="1" x14ac:dyDescent="0.35">
      <c r="A33" s="3"/>
      <c r="B33" s="3"/>
      <c r="C33" s="3"/>
      <c r="D33" s="3"/>
      <c r="E33" s="3"/>
    </row>
    <row r="34" spans="1:5" ht="15" customHeight="1" x14ac:dyDescent="0.35">
      <c r="A34" s="3"/>
      <c r="B34" s="3"/>
      <c r="C34" s="3"/>
      <c r="D34" s="3"/>
      <c r="E34" s="3"/>
    </row>
    <row r="35" spans="1:5" ht="15" customHeight="1" x14ac:dyDescent="0.35">
      <c r="A35" s="3"/>
      <c r="B35" s="3"/>
      <c r="C35" s="3"/>
      <c r="D35" s="3"/>
      <c r="E35" s="3"/>
    </row>
    <row r="36" spans="1:5" ht="15" customHeight="1" x14ac:dyDescent="0.35">
      <c r="A36" s="3"/>
      <c r="B36" s="3"/>
      <c r="C36" s="3"/>
      <c r="D36" s="3"/>
      <c r="E36" s="3"/>
    </row>
    <row r="37" spans="1:5" ht="15" customHeight="1" x14ac:dyDescent="0.35">
      <c r="A37" s="3"/>
      <c r="B37" s="3"/>
      <c r="C37" s="3"/>
      <c r="D37" s="3"/>
      <c r="E37" s="3"/>
    </row>
    <row r="38" spans="1:5" ht="15" customHeight="1" x14ac:dyDescent="0.35">
      <c r="A38" s="3"/>
      <c r="B38" s="3"/>
      <c r="C38" s="3"/>
      <c r="D38" s="3"/>
      <c r="E38" s="3"/>
    </row>
    <row r="39" spans="1:5" ht="15" customHeight="1" x14ac:dyDescent="0.35">
      <c r="A39" s="3"/>
      <c r="B39" s="3"/>
      <c r="C39" s="3"/>
      <c r="D39" s="3"/>
      <c r="E39" s="3"/>
    </row>
    <row r="40" spans="1:5" ht="15" customHeight="1" x14ac:dyDescent="0.35">
      <c r="A40" s="3"/>
      <c r="B40" s="3"/>
      <c r="C40" s="3"/>
      <c r="D40" s="3"/>
      <c r="E40" s="3"/>
    </row>
    <row r="41" spans="1:5" ht="15" customHeight="1" x14ac:dyDescent="0.35">
      <c r="A41" s="3"/>
      <c r="B41" s="3"/>
      <c r="C41" s="3"/>
      <c r="D41" s="3"/>
      <c r="E41" s="3"/>
    </row>
    <row r="42" spans="1:5" ht="15" customHeight="1" x14ac:dyDescent="0.35">
      <c r="A42" s="3"/>
      <c r="B42" s="3"/>
      <c r="C42" s="3"/>
      <c r="D42" s="3"/>
      <c r="E42" s="3"/>
    </row>
    <row r="43" spans="1:5" ht="15" customHeight="1" x14ac:dyDescent="0.35">
      <c r="A43" s="3"/>
      <c r="B43" s="3"/>
      <c r="C43" s="3"/>
      <c r="D43" s="3"/>
      <c r="E43" s="3"/>
    </row>
    <row r="44" spans="1:5" ht="15" customHeight="1" x14ac:dyDescent="0.35">
      <c r="A44" s="3"/>
      <c r="B44" s="3"/>
      <c r="C44" s="3"/>
      <c r="D44" s="3"/>
      <c r="E44" s="3"/>
    </row>
    <row r="45" spans="1:5" ht="15" customHeight="1" x14ac:dyDescent="0.35">
      <c r="A45" s="3"/>
      <c r="B45" s="3"/>
      <c r="C45" s="3"/>
      <c r="D45" s="3"/>
      <c r="E45" s="3"/>
    </row>
    <row r="46" spans="1:5" ht="15" customHeight="1" x14ac:dyDescent="0.35">
      <c r="A46" s="3"/>
      <c r="B46" s="3"/>
      <c r="C46" s="3"/>
      <c r="D46" s="3"/>
      <c r="E46" s="3"/>
    </row>
    <row r="47" spans="1:5" ht="15" customHeight="1" x14ac:dyDescent="0.35">
      <c r="A47" s="3"/>
      <c r="B47" s="3"/>
      <c r="C47" s="3"/>
      <c r="D47" s="3"/>
      <c r="E47" s="3"/>
    </row>
    <row r="48" spans="1:5" ht="15" customHeight="1" x14ac:dyDescent="0.35">
      <c r="A48" s="3"/>
      <c r="B48" s="3"/>
      <c r="C48" s="3"/>
      <c r="D48" s="3"/>
      <c r="E48" s="3"/>
    </row>
    <row r="49" spans="1:5" ht="15" customHeight="1" x14ac:dyDescent="0.35">
      <c r="A49" s="3"/>
      <c r="B49" s="3"/>
      <c r="C49" s="3"/>
      <c r="D49" s="3"/>
      <c r="E49" s="3"/>
    </row>
    <row r="50" spans="1:5" ht="15" customHeight="1" x14ac:dyDescent="0.35">
      <c r="A50" s="3"/>
      <c r="B50" s="3"/>
      <c r="C50" s="3"/>
      <c r="D50" s="3"/>
      <c r="E50" s="3"/>
    </row>
    <row r="51" spans="1:5" ht="15" customHeight="1" x14ac:dyDescent="0.35">
      <c r="A51" s="3"/>
      <c r="B51" s="3"/>
      <c r="C51" s="3"/>
      <c r="D51" s="3"/>
      <c r="E51" s="3"/>
    </row>
    <row r="52" spans="1:5" ht="15" customHeight="1" x14ac:dyDescent="0.35">
      <c r="A52" s="3"/>
      <c r="B52" s="3"/>
      <c r="C52" s="3"/>
      <c r="D52" s="3"/>
      <c r="E52" s="3"/>
    </row>
    <row r="53" spans="1:5" ht="15" customHeight="1" x14ac:dyDescent="0.35">
      <c r="A53" s="3"/>
      <c r="B53" s="3"/>
      <c r="C53" s="3"/>
      <c r="D53" s="3"/>
      <c r="E53" s="3"/>
    </row>
    <row r="54" spans="1:5" ht="15" customHeight="1" x14ac:dyDescent="0.35">
      <c r="A54" s="3"/>
      <c r="B54" s="3"/>
      <c r="C54" s="3"/>
      <c r="D54" s="3"/>
      <c r="E54" s="3"/>
    </row>
    <row r="55" spans="1:5" ht="15" customHeight="1" x14ac:dyDescent="0.35">
      <c r="A55" s="3"/>
      <c r="B55" s="3"/>
      <c r="C55" s="3"/>
      <c r="D55" s="3"/>
      <c r="E55" s="3"/>
    </row>
    <row r="56" spans="1:5" ht="15" customHeight="1" x14ac:dyDescent="0.35">
      <c r="A56" s="3"/>
      <c r="B56" s="3"/>
      <c r="C56" s="3"/>
      <c r="D56" s="3"/>
      <c r="E56" s="3"/>
    </row>
    <row r="57" spans="1:5" ht="15" customHeight="1" x14ac:dyDescent="0.35">
      <c r="A57" s="3"/>
      <c r="B57" s="3"/>
      <c r="C57" s="3"/>
      <c r="D57" s="3"/>
      <c r="E57" s="3"/>
    </row>
    <row r="58" spans="1:5" ht="15" customHeight="1" x14ac:dyDescent="0.35">
      <c r="A58" s="3"/>
      <c r="B58" s="3"/>
      <c r="C58" s="3"/>
      <c r="D58" s="3"/>
      <c r="E58" s="3"/>
    </row>
    <row r="59" spans="1:5" ht="15" customHeight="1" x14ac:dyDescent="0.35">
      <c r="A59" s="3"/>
      <c r="B59" s="3"/>
      <c r="C59" s="3"/>
      <c r="D59" s="3"/>
      <c r="E59" s="3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⚙ Setup</vt:lpstr>
      <vt:lpstr>📊 Annual Dashboard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🗓 Bill Calendar</vt:lpstr>
      <vt:lpstr>💳 Debt Tracker</vt:lpstr>
      <vt:lpstr>💰 Savings Tracker</vt:lpstr>
      <vt:lpstr>📈 Net Worth</vt:lpstr>
      <vt:lpstr>⚖ 50-30-20</vt:lpstr>
      <vt:lpstr>👫 Couples Budget</vt:lpstr>
      <vt:lpstr>🧠 ADHD View</vt:lpstr>
      <vt:lpstr>📱 Subscriptions</vt:lpstr>
      <vt:lpstr>💵 Income Tracker</vt:lpstr>
      <vt:lpstr>🎯 No-Spend Challenge</vt:lpstr>
      <vt:lpstr>📖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Bejarano</cp:lastModifiedBy>
  <cp:revision>0</cp:revision>
  <cp:lastPrinted>2026-06-13T17:09:55Z</cp:lastPrinted>
  <dcterms:created xsi:type="dcterms:W3CDTF">2026-06-12T22:54:18Z</dcterms:created>
  <dcterms:modified xsi:type="dcterms:W3CDTF">2026-06-13T17:10:57Z</dcterms:modified>
  <dc:language>en-US</dc:language>
</cp:coreProperties>
</file>